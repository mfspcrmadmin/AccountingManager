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deforspain-my.sharepoint.com/personal/r_bautista_madeforspainandportugal_com/Documents/Escritorio/"/>
    </mc:Choice>
  </mc:AlternateContent>
  <xr:revisionPtr revIDLastSave="0" documentId="8_{41AAA5FA-E69F-4AF1-B42B-BF7B431AD462}" xr6:coauthVersionLast="47" xr6:coauthVersionMax="47" xr10:uidLastSave="{00000000-0000-0000-0000-000000000000}"/>
  <bookViews>
    <workbookView xWindow="-108" yWindow="-108" windowWidth="23256" windowHeight="12456" xr2:uid="{7A9D762D-A454-46B3-80D5-20A763B2ACC4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U73" i="1" l="1"/>
  <c r="AQ73" i="1"/>
  <c r="AL73" i="1"/>
  <c r="AI73" i="1"/>
  <c r="AS73" i="1" s="1"/>
  <c r="AG73" i="1"/>
  <c r="P73" i="1"/>
  <c r="O73" i="1"/>
  <c r="AU72" i="1"/>
  <c r="AQ72" i="1"/>
  <c r="AL72" i="1"/>
  <c r="AI72" i="1"/>
  <c r="AS72" i="1" s="1"/>
  <c r="AG72" i="1"/>
  <c r="P72" i="1"/>
  <c r="O72" i="1"/>
  <c r="AU71" i="1"/>
  <c r="AQ71" i="1"/>
  <c r="AJ71" i="1"/>
  <c r="AL71" i="1" s="1"/>
  <c r="AI71" i="1"/>
  <c r="AS71" i="1" s="1"/>
  <c r="AG71" i="1"/>
  <c r="P71" i="1"/>
  <c r="O71" i="1"/>
  <c r="AU70" i="1"/>
  <c r="AQ70" i="1"/>
  <c r="AL70" i="1"/>
  <c r="AI70" i="1"/>
  <c r="AS70" i="1" s="1"/>
  <c r="AG70" i="1"/>
  <c r="P70" i="1"/>
  <c r="O70" i="1"/>
  <c r="AU69" i="1"/>
  <c r="AQ69" i="1"/>
  <c r="AJ69" i="1"/>
  <c r="AL69" i="1" s="1"/>
  <c r="AI69" i="1"/>
  <c r="AS69" i="1" s="1"/>
  <c r="AG69" i="1"/>
  <c r="P69" i="1"/>
  <c r="O69" i="1"/>
  <c r="AU68" i="1"/>
  <c r="AS68" i="1"/>
  <c r="AQ68" i="1"/>
  <c r="AL68" i="1"/>
  <c r="AI68" i="1"/>
  <c r="AG68" i="1"/>
  <c r="P68" i="1"/>
  <c r="O68" i="1"/>
  <c r="AU67" i="1"/>
  <c r="AS67" i="1"/>
  <c r="AQ67" i="1"/>
  <c r="AJ67" i="1"/>
  <c r="AL67" i="1" s="1"/>
  <c r="AI67" i="1"/>
  <c r="AG67" i="1"/>
  <c r="P67" i="1"/>
  <c r="O67" i="1"/>
  <c r="AU66" i="1"/>
  <c r="AS66" i="1"/>
  <c r="AQ66" i="1"/>
  <c r="AL66" i="1"/>
  <c r="AI66" i="1"/>
  <c r="AG66" i="1"/>
  <c r="P66" i="1"/>
  <c r="O66" i="1"/>
  <c r="AU65" i="1"/>
  <c r="AQ65" i="1"/>
  <c r="AL65" i="1"/>
  <c r="AI65" i="1"/>
  <c r="AS65" i="1" s="1"/>
  <c r="AG65" i="1"/>
  <c r="P65" i="1"/>
  <c r="O65" i="1"/>
  <c r="AU64" i="1"/>
  <c r="AQ64" i="1"/>
  <c r="AL64" i="1"/>
  <c r="AI64" i="1"/>
  <c r="AS64" i="1" s="1"/>
  <c r="AG64" i="1"/>
  <c r="P64" i="1"/>
  <c r="O64" i="1"/>
  <c r="AU63" i="1"/>
  <c r="AQ63" i="1"/>
  <c r="AJ63" i="1"/>
  <c r="AL63" i="1" s="1"/>
  <c r="AI63" i="1"/>
  <c r="AS63" i="1" s="1"/>
  <c r="AG63" i="1"/>
  <c r="P63" i="1"/>
  <c r="O63" i="1"/>
  <c r="AU62" i="1"/>
  <c r="AQ62" i="1"/>
  <c r="AL62" i="1"/>
  <c r="AI62" i="1"/>
  <c r="AS62" i="1" s="1"/>
  <c r="AG62" i="1"/>
  <c r="P62" i="1"/>
  <c r="O62" i="1"/>
  <c r="AU61" i="1"/>
  <c r="AS61" i="1"/>
  <c r="AQ61" i="1"/>
  <c r="AJ61" i="1"/>
  <c r="AL61" i="1" s="1"/>
  <c r="AI61" i="1"/>
  <c r="AG61" i="1"/>
  <c r="P61" i="1"/>
  <c r="O61" i="1"/>
  <c r="AU60" i="1"/>
  <c r="AS60" i="1"/>
  <c r="AQ60" i="1"/>
  <c r="AL60" i="1"/>
  <c r="AJ60" i="1"/>
  <c r="AI60" i="1"/>
  <c r="AG60" i="1"/>
  <c r="P60" i="1"/>
  <c r="O60" i="1"/>
  <c r="AU59" i="1"/>
  <c r="AS59" i="1"/>
  <c r="AQ59" i="1"/>
  <c r="AJ59" i="1"/>
  <c r="AL59" i="1" s="1"/>
  <c r="AI59" i="1"/>
  <c r="AG59" i="1"/>
  <c r="P59" i="1"/>
  <c r="O59" i="1"/>
  <c r="AU58" i="1"/>
  <c r="AS58" i="1"/>
  <c r="AQ58" i="1"/>
  <c r="AL58" i="1"/>
  <c r="AJ58" i="1"/>
  <c r="AI58" i="1"/>
  <c r="AG58" i="1"/>
  <c r="P58" i="1"/>
  <c r="O58" i="1"/>
  <c r="AU57" i="1"/>
  <c r="AQ57" i="1"/>
  <c r="AL57" i="1"/>
  <c r="AI57" i="1"/>
  <c r="AS57" i="1" s="1"/>
  <c r="AG57" i="1"/>
  <c r="P57" i="1"/>
  <c r="O57" i="1"/>
  <c r="AU56" i="1"/>
  <c r="AQ56" i="1"/>
  <c r="AL56" i="1"/>
  <c r="AI56" i="1"/>
  <c r="AS56" i="1" s="1"/>
  <c r="AG56" i="1"/>
  <c r="P56" i="1"/>
  <c r="O56" i="1"/>
  <c r="AU55" i="1"/>
  <c r="AQ55" i="1"/>
  <c r="AL55" i="1"/>
  <c r="AI55" i="1"/>
  <c r="AS55" i="1" s="1"/>
  <c r="AG55" i="1"/>
  <c r="P55" i="1"/>
  <c r="O55" i="1"/>
  <c r="AU54" i="1"/>
  <c r="AQ54" i="1"/>
  <c r="AL54" i="1"/>
  <c r="AI54" i="1"/>
  <c r="AS54" i="1" s="1"/>
  <c r="AG54" i="1"/>
  <c r="P54" i="1"/>
  <c r="O54" i="1"/>
  <c r="AU53" i="1"/>
  <c r="AS53" i="1"/>
  <c r="AQ53" i="1"/>
  <c r="AJ53" i="1"/>
  <c r="AL53" i="1" s="1"/>
  <c r="AI53" i="1"/>
  <c r="AG53" i="1"/>
  <c r="P53" i="1"/>
  <c r="O53" i="1"/>
  <c r="AU52" i="1"/>
  <c r="AS52" i="1"/>
  <c r="AQ52" i="1"/>
  <c r="AL52" i="1"/>
  <c r="AJ52" i="1"/>
  <c r="AI52" i="1"/>
  <c r="AG52" i="1"/>
  <c r="P52" i="1"/>
  <c r="O52" i="1"/>
  <c r="AU51" i="1"/>
  <c r="AS51" i="1"/>
  <c r="AQ51" i="1"/>
  <c r="AJ51" i="1"/>
  <c r="AL51" i="1" s="1"/>
  <c r="AI51" i="1"/>
  <c r="AG51" i="1"/>
  <c r="P51" i="1"/>
  <c r="O51" i="1"/>
  <c r="AU50" i="1"/>
  <c r="AS50" i="1"/>
  <c r="AQ50" i="1"/>
  <c r="AL50" i="1"/>
  <c r="AJ50" i="1"/>
  <c r="AI50" i="1"/>
  <c r="AG50" i="1"/>
  <c r="P50" i="1"/>
  <c r="O50" i="1"/>
  <c r="AU49" i="1"/>
  <c r="AQ49" i="1"/>
  <c r="AL49" i="1"/>
  <c r="AI49" i="1"/>
  <c r="AS49" i="1" s="1"/>
  <c r="AG49" i="1"/>
  <c r="P49" i="1"/>
  <c r="O49" i="1"/>
  <c r="AU48" i="1"/>
  <c r="AQ48" i="1"/>
  <c r="AL48" i="1"/>
  <c r="AI48" i="1"/>
  <c r="AS48" i="1" s="1"/>
  <c r="AG48" i="1"/>
  <c r="P48" i="1"/>
  <c r="O48" i="1"/>
  <c r="AU47" i="1"/>
  <c r="AQ47" i="1"/>
  <c r="AJ47" i="1"/>
  <c r="AL47" i="1" s="1"/>
  <c r="AI47" i="1"/>
  <c r="AS47" i="1" s="1"/>
  <c r="AG47" i="1"/>
  <c r="P47" i="1"/>
  <c r="O47" i="1"/>
  <c r="AU46" i="1"/>
  <c r="AQ46" i="1"/>
  <c r="AJ46" i="1"/>
  <c r="AL46" i="1" s="1"/>
  <c r="AI46" i="1"/>
  <c r="AS46" i="1" s="1"/>
  <c r="AG46" i="1"/>
  <c r="P46" i="1"/>
  <c r="O46" i="1"/>
  <c r="AU45" i="1"/>
  <c r="AQ45" i="1"/>
  <c r="AJ45" i="1"/>
  <c r="AL45" i="1" s="1"/>
  <c r="AI45" i="1"/>
  <c r="AS45" i="1" s="1"/>
  <c r="AG45" i="1"/>
  <c r="P45" i="1"/>
  <c r="O45" i="1"/>
  <c r="AU44" i="1"/>
  <c r="AQ44" i="1"/>
  <c r="AL44" i="1"/>
  <c r="AI44" i="1"/>
  <c r="AS44" i="1" s="1"/>
  <c r="AG44" i="1"/>
  <c r="P44" i="1"/>
  <c r="O44" i="1"/>
  <c r="AU43" i="1"/>
  <c r="AS43" i="1"/>
  <c r="AQ43" i="1"/>
  <c r="AL43" i="1"/>
  <c r="AI43" i="1"/>
  <c r="AG43" i="1"/>
  <c r="P43" i="1"/>
  <c r="O43" i="1"/>
  <c r="AU42" i="1"/>
  <c r="AS42" i="1"/>
  <c r="AQ42" i="1"/>
  <c r="AL42" i="1"/>
  <c r="AI42" i="1"/>
  <c r="AG42" i="1"/>
  <c r="P42" i="1"/>
  <c r="O42" i="1"/>
  <c r="AU41" i="1"/>
  <c r="AQ41" i="1"/>
  <c r="AL41" i="1"/>
  <c r="AJ41" i="1"/>
  <c r="AI41" i="1"/>
  <c r="AS41" i="1" s="1"/>
  <c r="AG41" i="1"/>
  <c r="P41" i="1"/>
  <c r="O41" i="1"/>
  <c r="AU40" i="1"/>
  <c r="AQ40" i="1"/>
  <c r="AJ40" i="1"/>
  <c r="AL40" i="1" s="1"/>
  <c r="AI40" i="1"/>
  <c r="AS40" i="1" s="1"/>
  <c r="AG40" i="1"/>
  <c r="P40" i="1"/>
  <c r="O40" i="1"/>
  <c r="AU39" i="1"/>
  <c r="AQ39" i="1"/>
  <c r="AJ39" i="1"/>
  <c r="AL39" i="1" s="1"/>
  <c r="AI39" i="1"/>
  <c r="AS39" i="1" s="1"/>
  <c r="AG39" i="1"/>
  <c r="P39" i="1"/>
  <c r="O39" i="1"/>
  <c r="AU38" i="1"/>
  <c r="AQ38" i="1"/>
  <c r="AJ38" i="1"/>
  <c r="AL38" i="1" s="1"/>
  <c r="AI38" i="1"/>
  <c r="AS38" i="1" s="1"/>
  <c r="AG38" i="1"/>
  <c r="P38" i="1"/>
  <c r="O38" i="1"/>
  <c r="AU37" i="1"/>
  <c r="AQ37" i="1"/>
  <c r="AJ37" i="1"/>
  <c r="AL37" i="1" s="1"/>
  <c r="AI37" i="1"/>
  <c r="AS37" i="1" s="1"/>
  <c r="AG37" i="1"/>
  <c r="P37" i="1"/>
  <c r="O37" i="1"/>
  <c r="AU36" i="1"/>
  <c r="AQ36" i="1"/>
  <c r="AJ36" i="1"/>
  <c r="AL36" i="1" s="1"/>
  <c r="AI36" i="1"/>
  <c r="AS36" i="1" s="1"/>
  <c r="AG36" i="1"/>
  <c r="P36" i="1"/>
  <c r="O36" i="1"/>
  <c r="AU35" i="1"/>
  <c r="AQ35" i="1"/>
  <c r="AJ35" i="1"/>
  <c r="AL35" i="1" s="1"/>
  <c r="AI35" i="1"/>
  <c r="AS35" i="1" s="1"/>
  <c r="AG35" i="1"/>
  <c r="P35" i="1"/>
  <c r="O35" i="1"/>
  <c r="AU34" i="1"/>
  <c r="AS34" i="1"/>
  <c r="AQ34" i="1"/>
  <c r="AJ34" i="1"/>
  <c r="AL34" i="1" s="1"/>
  <c r="AI34" i="1"/>
  <c r="AG34" i="1"/>
  <c r="P34" i="1"/>
  <c r="O34" i="1"/>
  <c r="AU33" i="1"/>
  <c r="AS33" i="1"/>
  <c r="AQ33" i="1"/>
  <c r="AL33" i="1"/>
  <c r="AJ33" i="1"/>
  <c r="AI33" i="1"/>
  <c r="AG33" i="1"/>
  <c r="P33" i="1"/>
  <c r="O33" i="1"/>
  <c r="AU32" i="1"/>
  <c r="AS32" i="1"/>
  <c r="AQ32" i="1"/>
  <c r="AJ32" i="1"/>
  <c r="AL32" i="1" s="1"/>
  <c r="AI32" i="1"/>
  <c r="AG32" i="1"/>
  <c r="P32" i="1"/>
  <c r="O32" i="1"/>
  <c r="AU31" i="1"/>
  <c r="AS31" i="1"/>
  <c r="AQ31" i="1"/>
  <c r="AL31" i="1"/>
  <c r="AI31" i="1"/>
  <c r="AG31" i="1"/>
  <c r="P31" i="1"/>
  <c r="O31" i="1"/>
  <c r="AU30" i="1"/>
  <c r="AQ30" i="1"/>
  <c r="AL30" i="1"/>
  <c r="AI30" i="1"/>
  <c r="AS30" i="1" s="1"/>
  <c r="AG30" i="1"/>
  <c r="P30" i="1"/>
  <c r="O30" i="1"/>
  <c r="AU29" i="1"/>
  <c r="AQ29" i="1"/>
  <c r="AJ29" i="1"/>
  <c r="AL29" i="1" s="1"/>
  <c r="AI29" i="1"/>
  <c r="AS29" i="1" s="1"/>
  <c r="AG29" i="1"/>
  <c r="P29" i="1"/>
  <c r="O29" i="1"/>
  <c r="AU28" i="1"/>
  <c r="AQ28" i="1"/>
  <c r="AJ28" i="1"/>
  <c r="AL28" i="1" s="1"/>
  <c r="AI28" i="1"/>
  <c r="AS28" i="1" s="1"/>
  <c r="AG28" i="1"/>
  <c r="P28" i="1"/>
  <c r="O28" i="1"/>
  <c r="AU27" i="1"/>
  <c r="AQ27" i="1"/>
  <c r="AJ27" i="1"/>
  <c r="AL27" i="1" s="1"/>
  <c r="AI27" i="1"/>
  <c r="AS27" i="1" s="1"/>
  <c r="AG27" i="1"/>
  <c r="P27" i="1"/>
  <c r="O27" i="1"/>
  <c r="AU26" i="1"/>
  <c r="AQ26" i="1"/>
  <c r="AJ26" i="1"/>
  <c r="AL26" i="1" s="1"/>
  <c r="AI26" i="1"/>
  <c r="AS26" i="1" s="1"/>
  <c r="AG26" i="1"/>
  <c r="P26" i="1"/>
  <c r="O26" i="1"/>
  <c r="AU25" i="1"/>
  <c r="AQ25" i="1"/>
  <c r="AJ25" i="1"/>
  <c r="AL25" i="1" s="1"/>
  <c r="AI25" i="1"/>
  <c r="AS25" i="1" s="1"/>
  <c r="AG25" i="1"/>
  <c r="P25" i="1"/>
  <c r="O25" i="1"/>
  <c r="AU24" i="1"/>
  <c r="AS24" i="1"/>
  <c r="AQ24" i="1"/>
  <c r="AL24" i="1"/>
  <c r="AI24" i="1"/>
  <c r="AG24" i="1"/>
  <c r="P24" i="1"/>
  <c r="O24" i="1"/>
  <c r="AU23" i="1"/>
  <c r="AS23" i="1"/>
  <c r="AQ23" i="1"/>
  <c r="AJ23" i="1"/>
  <c r="AL23" i="1" s="1"/>
  <c r="AI23" i="1"/>
  <c r="AG23" i="1"/>
  <c r="P23" i="1"/>
  <c r="O23" i="1"/>
  <c r="AU22" i="1"/>
  <c r="AS22" i="1"/>
  <c r="AQ22" i="1"/>
  <c r="AL22" i="1"/>
  <c r="AJ22" i="1"/>
  <c r="AI22" i="1"/>
  <c r="AG22" i="1"/>
  <c r="P22" i="1"/>
  <c r="O22" i="1"/>
  <c r="AU21" i="1"/>
  <c r="AS21" i="1"/>
  <c r="AQ21" i="1"/>
  <c r="AL21" i="1"/>
  <c r="AJ21" i="1"/>
  <c r="AI21" i="1"/>
  <c r="AG21" i="1"/>
  <c r="P21" i="1"/>
  <c r="O21" i="1"/>
  <c r="AU20" i="1"/>
  <c r="AQ20" i="1"/>
  <c r="AL20" i="1"/>
  <c r="AI20" i="1"/>
  <c r="AS20" i="1" s="1"/>
  <c r="AG20" i="1"/>
  <c r="P20" i="1"/>
  <c r="O20" i="1"/>
  <c r="AU19" i="1"/>
  <c r="AQ19" i="1"/>
  <c r="AL19" i="1"/>
  <c r="AI19" i="1"/>
  <c r="AS19" i="1" s="1"/>
  <c r="AG19" i="1"/>
  <c r="P19" i="1"/>
  <c r="O19" i="1"/>
  <c r="AU18" i="1"/>
  <c r="AQ18" i="1"/>
  <c r="AL18" i="1"/>
  <c r="AI18" i="1"/>
  <c r="AS18" i="1" s="1"/>
  <c r="AG18" i="1"/>
  <c r="P18" i="1"/>
  <c r="O18" i="1"/>
  <c r="AU17" i="1"/>
  <c r="AQ17" i="1"/>
  <c r="AL17" i="1"/>
  <c r="AI17" i="1"/>
  <c r="AS17" i="1" s="1"/>
  <c r="AG17" i="1"/>
  <c r="P17" i="1"/>
  <c r="O17" i="1"/>
  <c r="AU16" i="1"/>
  <c r="AS16" i="1"/>
  <c r="AQ16" i="1"/>
  <c r="AL16" i="1"/>
  <c r="AI16" i="1"/>
  <c r="AG16" i="1"/>
  <c r="P16" i="1"/>
  <c r="O16" i="1"/>
  <c r="AU15" i="1"/>
  <c r="AS15" i="1"/>
  <c r="AQ15" i="1"/>
  <c r="AL15" i="1"/>
  <c r="AJ15" i="1"/>
  <c r="AI15" i="1"/>
  <c r="AG15" i="1"/>
  <c r="P15" i="1"/>
  <c r="O15" i="1"/>
  <c r="AU14" i="1"/>
  <c r="AS14" i="1"/>
  <c r="AQ14" i="1"/>
  <c r="AL14" i="1"/>
  <c r="AJ14" i="1"/>
  <c r="AI14" i="1"/>
  <c r="AG14" i="1"/>
  <c r="P14" i="1"/>
  <c r="O14" i="1"/>
  <c r="AU13" i="1"/>
  <c r="AQ13" i="1"/>
  <c r="AL13" i="1"/>
  <c r="AI13" i="1"/>
  <c r="AS13" i="1" s="1"/>
  <c r="AG13" i="1"/>
  <c r="P13" i="1"/>
  <c r="O13" i="1"/>
  <c r="AU12" i="1"/>
  <c r="AQ12" i="1"/>
  <c r="AL12" i="1"/>
  <c r="AJ12" i="1"/>
  <c r="AI12" i="1"/>
  <c r="AS12" i="1" s="1"/>
  <c r="AG12" i="1"/>
  <c r="P12" i="1"/>
  <c r="O12" i="1"/>
  <c r="AU11" i="1"/>
  <c r="AQ11" i="1"/>
  <c r="AJ11" i="1"/>
  <c r="AL11" i="1" s="1"/>
  <c r="AI11" i="1"/>
  <c r="AS11" i="1" s="1"/>
  <c r="AG11" i="1"/>
  <c r="P11" i="1"/>
  <c r="O11" i="1"/>
  <c r="AU10" i="1"/>
  <c r="AQ10" i="1"/>
  <c r="AJ10" i="1"/>
  <c r="AL10" i="1" s="1"/>
  <c r="AI10" i="1"/>
  <c r="AS10" i="1" s="1"/>
  <c r="AG10" i="1"/>
  <c r="P10" i="1"/>
  <c r="O10" i="1"/>
  <c r="AU9" i="1"/>
  <c r="AQ9" i="1"/>
  <c r="AL9" i="1"/>
  <c r="AI9" i="1"/>
  <c r="AS9" i="1" s="1"/>
  <c r="AG9" i="1"/>
  <c r="P9" i="1"/>
  <c r="O9" i="1"/>
  <c r="AU8" i="1"/>
  <c r="AS8" i="1"/>
  <c r="AQ8" i="1"/>
  <c r="AJ8" i="1"/>
  <c r="AL8" i="1" s="1"/>
  <c r="AI8" i="1"/>
  <c r="AG8" i="1"/>
  <c r="P8" i="1"/>
  <c r="O8" i="1"/>
  <c r="AU7" i="1"/>
  <c r="AS7" i="1"/>
  <c r="AQ7" i="1"/>
  <c r="AL7" i="1"/>
  <c r="AJ7" i="1"/>
  <c r="AI7" i="1"/>
  <c r="AG7" i="1"/>
  <c r="P7" i="1"/>
  <c r="O7" i="1"/>
  <c r="AU6" i="1"/>
  <c r="AS6" i="1"/>
  <c r="AQ6" i="1"/>
  <c r="AJ6" i="1"/>
  <c r="AL6" i="1" s="1"/>
  <c r="AI6" i="1"/>
  <c r="AG6" i="1"/>
  <c r="P6" i="1"/>
  <c r="O6" i="1"/>
  <c r="AU5" i="1"/>
  <c r="AS5" i="1"/>
  <c r="AQ5" i="1"/>
  <c r="AL5" i="1"/>
  <c r="AI5" i="1"/>
  <c r="AG5" i="1"/>
  <c r="P5" i="1"/>
  <c r="O5" i="1"/>
  <c r="AU4" i="1"/>
  <c r="AQ4" i="1"/>
  <c r="AR4" i="1" s="1"/>
  <c r="AR5" i="1" s="1"/>
  <c r="AJ4" i="1"/>
  <c r="AL4" i="1" s="1"/>
  <c r="AI4" i="1"/>
  <c r="AS4" i="1" s="1"/>
  <c r="AT4" i="1" s="1"/>
  <c r="AG4" i="1"/>
  <c r="P4" i="1"/>
  <c r="O4" i="1"/>
  <c r="AT5" i="1" l="1"/>
  <c r="AT6" i="1" s="1"/>
  <c r="AT7" i="1" s="1"/>
  <c r="AT8" i="1" s="1"/>
  <c r="AT9" i="1" s="1"/>
  <c r="AT10" i="1" s="1"/>
  <c r="AT11" i="1" s="1"/>
  <c r="AT12" i="1" s="1"/>
  <c r="AT13" i="1" s="1"/>
  <c r="AT14" i="1" s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T36" i="1" s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AT53" i="1" s="1"/>
  <c r="AT54" i="1" s="1"/>
  <c r="AT55" i="1" s="1"/>
  <c r="AT56" i="1" s="1"/>
  <c r="AT57" i="1" s="1"/>
  <c r="AT58" i="1" s="1"/>
  <c r="AT59" i="1" s="1"/>
  <c r="AT60" i="1" s="1"/>
  <c r="AT61" i="1" s="1"/>
  <c r="AT62" i="1" s="1"/>
  <c r="AT63" i="1" s="1"/>
  <c r="AT64" i="1" s="1"/>
  <c r="AT65" i="1" s="1"/>
  <c r="AT66" i="1" s="1"/>
  <c r="AT67" i="1" s="1"/>
  <c r="AT68" i="1" s="1"/>
  <c r="AT69" i="1" s="1"/>
  <c r="AT70" i="1" s="1"/>
  <c r="AT71" i="1" s="1"/>
  <c r="AT72" i="1" s="1"/>
  <c r="AT73" i="1" s="1"/>
  <c r="AR6" i="1"/>
  <c r="AR7" i="1" s="1"/>
  <c r="AR8" i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Andersson Flechas Peñaranda</author>
    <author>Rebecca Bautista</author>
  </authors>
  <commentList>
    <comment ref="AL4" authorId="0" shapeId="0" xr:uid="{8E1D941F-C03E-4990-8870-CC0A72587532}">
      <text>
        <r>
          <rPr>
            <b/>
            <sz val="11"/>
            <color indexed="81"/>
            <rFont val="Tahoma"/>
            <family val="2"/>
          </rPr>
          <t>Andersson Flechas Peñaranda:</t>
        </r>
        <r>
          <rPr>
            <sz val="11"/>
            <color indexed="81"/>
            <rFont val="Tahoma"/>
            <family val="2"/>
          </rPr>
          <t xml:space="preserve">
Agente solicitó dos link de pago</t>
        </r>
      </text>
    </comment>
    <comment ref="AL11" authorId="0" shapeId="0" xr:uid="{1C72DDEE-0C5F-431B-946F-8728FD59D35E}">
      <text>
        <r>
          <rPr>
            <b/>
            <sz val="11"/>
            <color indexed="81"/>
            <rFont val="Tahoma"/>
            <family val="2"/>
          </rPr>
          <t>Andersson Flechas Peñaranda:</t>
        </r>
        <r>
          <rPr>
            <sz val="11"/>
            <color indexed="81"/>
            <rFont val="Tahoma"/>
            <family val="2"/>
          </rPr>
          <t xml:space="preserve">
2º link 20/07 </t>
        </r>
      </text>
    </comment>
    <comment ref="AL15" authorId="1" shapeId="0" xr:uid="{072DECA6-4A8C-4AD3-88B7-F26B7070DBAE}">
      <text>
        <r>
          <rPr>
            <b/>
            <sz val="9"/>
            <color indexed="81"/>
            <rFont val="Tahoma"/>
            <family val="2"/>
          </rPr>
          <t>Rebecca Bautista:</t>
        </r>
        <r>
          <rPr>
            <sz val="9"/>
            <color indexed="81"/>
            <rFont val="Tahoma"/>
            <family val="2"/>
          </rPr>
          <t xml:space="preserve">
si hay cambios, modificar en la plataforma WP</t>
        </r>
      </text>
    </comment>
    <comment ref="AL21" authorId="0" shapeId="0" xr:uid="{9CF78932-9E58-4362-9205-F46667F64180}">
      <text>
        <r>
          <rPr>
            <b/>
            <sz val="11"/>
            <color indexed="81"/>
            <rFont val="Tahoma"/>
            <family val="2"/>
          </rPr>
          <t xml:space="preserve">Andersson Flechas Peñaranda:
</t>
        </r>
        <r>
          <rPr>
            <sz val="11"/>
            <color indexed="81"/>
            <rFont val="Tahoma"/>
            <family val="2"/>
          </rPr>
          <t xml:space="preserve">Se envio link de pago solicitado por: 2,207€ 
</t>
        </r>
        <r>
          <rPr>
            <b/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solicitan 2 links de 8.786,65€  por pareja 05/03/2026
</t>
        </r>
      </text>
    </comment>
    <comment ref="AL22" authorId="1" shapeId="0" xr:uid="{A7F8BE53-5908-45DA-8975-51B4FE53FC2F}">
      <text>
        <r>
          <rPr>
            <b/>
            <sz val="9"/>
            <color indexed="81"/>
            <rFont val="Tahoma"/>
            <family val="2"/>
          </rPr>
          <t>Rebecca Bautista:</t>
        </r>
        <r>
          <rPr>
            <sz val="9"/>
            <color indexed="81"/>
            <rFont val="Tahoma"/>
            <family val="2"/>
          </rPr>
          <t xml:space="preserve">
refund al final del viaje</t>
        </r>
      </text>
    </comment>
    <comment ref="AL27" authorId="1" shapeId="0" xr:uid="{F9657207-57AE-477A-A08E-B47DFD592B51}">
      <text>
        <r>
          <rPr>
            <b/>
            <sz val="9"/>
            <color indexed="81"/>
            <rFont val="Tahoma"/>
            <family val="2"/>
          </rPr>
          <t>Rebecca Bautista:</t>
        </r>
        <r>
          <rPr>
            <sz val="9"/>
            <color indexed="81"/>
            <rFont val="Tahoma"/>
            <family val="2"/>
          </rPr>
          <t xml:space="preserve">
se envia balance por 13.540.95 € por FW
devolver al final del viaje.
Pendiente si se hizo efectiva la dev</t>
        </r>
      </text>
    </comment>
    <comment ref="AL32" authorId="1" shapeId="0" xr:uid="{8BE34253-D734-4359-B661-A2B2BD72B5CD}">
      <text>
        <r>
          <rPr>
            <b/>
            <sz val="9"/>
            <color indexed="81"/>
            <rFont val="Tahoma"/>
            <family val="2"/>
          </rPr>
          <t>Rebecca Bautista:</t>
        </r>
        <r>
          <rPr>
            <sz val="9"/>
            <color indexed="81"/>
            <rFont val="Tahoma"/>
            <family val="2"/>
          </rPr>
          <t xml:space="preserve">
650 aplicados a MFSP148676</t>
        </r>
      </text>
    </comment>
    <comment ref="AL33" authorId="0" shapeId="0" xr:uid="{75063E66-79BC-4F9B-AF66-0ED23C08BEF7}">
      <text>
        <r>
          <rPr>
            <b/>
            <sz val="11"/>
            <color indexed="81"/>
            <rFont val="Tahoma"/>
            <family val="2"/>
          </rPr>
          <t>Andersson Flechas Peñaranda:</t>
        </r>
        <r>
          <rPr>
            <sz val="11"/>
            <color indexed="81"/>
            <rFont val="Tahoma"/>
            <family val="2"/>
          </rPr>
          <t xml:space="preserve">
se envian dos links de pago
</t>
        </r>
      </text>
    </comment>
    <comment ref="AL34" authorId="0" shapeId="0" xr:uid="{6A467839-E18C-49F5-9FCC-4C0805942475}">
      <text>
        <r>
          <rPr>
            <b/>
            <sz val="11"/>
            <color indexed="81"/>
            <rFont val="Tahoma"/>
            <family val="2"/>
          </rPr>
          <t>Andersson Flechas Peñaranda:</t>
        </r>
        <r>
          <rPr>
            <sz val="11"/>
            <color indexed="81"/>
            <rFont val="Tahoma"/>
            <family val="2"/>
          </rPr>
          <t xml:space="preserve">
se le envia a cliente link solo por 117€ acorde a lo solicitado por GR asumiendo porcentaje de comision internamiente por nosotros de 13€</t>
        </r>
      </text>
    </comment>
    <comment ref="AL40" authorId="0" shapeId="0" xr:uid="{EB22BE5B-75F5-4FB4-BD63-2FC92FA6D815}">
      <text>
        <r>
          <rPr>
            <b/>
            <sz val="11"/>
            <color indexed="81"/>
            <rFont val="Tahoma"/>
            <family val="2"/>
          </rPr>
          <t>Andersson Flechas Peñaranda:</t>
        </r>
        <r>
          <rPr>
            <sz val="11"/>
            <color indexed="81"/>
            <rFont val="Tahoma"/>
            <family val="2"/>
          </rPr>
          <t xml:space="preserve">
1º link de pago 03/06 
2º link de pago 19/06
se reenvia link 26/06</t>
        </r>
      </text>
    </comment>
    <comment ref="AJ45" authorId="0" shapeId="0" xr:uid="{3D80D18C-36CE-441D-BB55-046FB2864A67}">
      <text>
        <r>
          <rPr>
            <b/>
            <sz val="11"/>
            <color indexed="81"/>
            <rFont val="Tahoma"/>
            <family val="2"/>
          </rPr>
          <t>Andersson Flechas Peñaranda:</t>
        </r>
        <r>
          <rPr>
            <sz val="11"/>
            <color indexed="81"/>
            <rFont val="Tahoma"/>
            <family val="2"/>
          </rPr>
          <t xml:space="preserve">
400€ es de Credit Voucher
</t>
        </r>
      </text>
    </comment>
    <comment ref="AL46" authorId="1" shapeId="0" xr:uid="{18779678-13A8-4C81-B4A3-F670F73E2543}">
      <text>
        <r>
          <rPr>
            <b/>
            <sz val="9"/>
            <color indexed="81"/>
            <rFont val="Tahoma"/>
            <family val="2"/>
          </rPr>
          <t>Rebecca Bautista:</t>
        </r>
        <r>
          <rPr>
            <sz val="9"/>
            <color indexed="81"/>
            <rFont val="Tahoma"/>
            <family val="2"/>
          </rPr>
          <t xml:space="preserve">
si hay cambios, modificar en la plataforma WP</t>
        </r>
      </text>
    </comment>
    <comment ref="AL48" authorId="1" shapeId="0" xr:uid="{036EE89A-DE7A-43C4-97C7-FC8C015B57BB}">
      <text>
        <r>
          <rPr>
            <b/>
            <sz val="9"/>
            <color indexed="81"/>
            <rFont val="Tahoma"/>
            <family val="2"/>
          </rPr>
          <t>Rebecca Bautista:</t>
        </r>
        <r>
          <rPr>
            <sz val="9"/>
            <color indexed="81"/>
            <rFont val="Tahoma"/>
            <family val="2"/>
          </rPr>
          <t xml:space="preserve">
si hay cambios, modificar en la plataforma WP</t>
        </r>
      </text>
    </comment>
    <comment ref="AL50" authorId="0" shapeId="0" xr:uid="{AC6CDA3E-64B2-4C89-9C1E-BAC8CA673CD3}">
      <text>
        <r>
          <rPr>
            <b/>
            <sz val="11"/>
            <color indexed="81"/>
            <rFont val="Tahoma"/>
            <family val="2"/>
          </rPr>
          <t>Andersson Flechas Peñaranda:</t>
        </r>
        <r>
          <rPr>
            <sz val="11"/>
            <color indexed="81"/>
            <rFont val="Tahoma"/>
            <family val="2"/>
          </rPr>
          <t xml:space="preserve">
a tener en cuenta piden 2 links para pagar el final balance en tkt #23167</t>
        </r>
      </text>
    </comment>
    <comment ref="AL53" authorId="0" shapeId="0" xr:uid="{50F96C89-392C-4F2B-BF3B-326F4029D1A2}">
      <text>
        <r>
          <rPr>
            <b/>
            <sz val="11"/>
            <color indexed="81"/>
            <rFont val="Tahoma"/>
            <family val="2"/>
          </rPr>
          <t>Andersson Flechas Peñaranda:</t>
        </r>
        <r>
          <rPr>
            <sz val="11"/>
            <color indexed="81"/>
            <rFont val="Tahoma"/>
            <family val="2"/>
          </rPr>
          <t xml:space="preserve">
Agente pide link de pago
</t>
        </r>
      </text>
    </comment>
    <comment ref="AL58" authorId="1" shapeId="0" xr:uid="{7082E1F7-1D51-40BF-B253-999FD8C0AEDF}">
      <text>
        <r>
          <rPr>
            <b/>
            <sz val="9"/>
            <color indexed="81"/>
            <rFont val="Tahoma"/>
            <family val="2"/>
          </rPr>
          <t>Rebecca Bautista:</t>
        </r>
        <r>
          <rPr>
            <sz val="9"/>
            <color indexed="81"/>
            <rFont val="Tahoma"/>
            <family val="2"/>
          </rPr>
          <t xml:space="preserve">
2246 aplicado a MFSP148707</t>
        </r>
      </text>
    </comment>
    <comment ref="AM62" authorId="0" shapeId="0" xr:uid="{063A2470-8797-4303-B9E6-D8B75316BD26}">
      <text>
        <r>
          <rPr>
            <b/>
            <sz val="11"/>
            <color indexed="81"/>
            <rFont val="Tahoma"/>
            <family val="2"/>
          </rPr>
          <t>Andersson Flechas Peñaranda:</t>
        </r>
        <r>
          <rPr>
            <sz val="11"/>
            <color indexed="81"/>
            <rFont val="Tahoma"/>
            <family val="2"/>
          </rPr>
          <t xml:space="preserve">
1º link enviado el 30/03
2º  link enviado el 06/04 
3º link envado el 13/04 
4º link enviado el 16/04
5º link enviado el 20/04</t>
        </r>
      </text>
    </comment>
    <comment ref="AL69" authorId="1" shapeId="0" xr:uid="{9F51CB73-50E9-41AD-8CB4-7E08DEFD966C}">
      <text>
        <r>
          <rPr>
            <b/>
            <sz val="9"/>
            <color indexed="81"/>
            <rFont val="Tahoma"/>
            <family val="2"/>
          </rPr>
          <t>Rebecca Bautista:</t>
        </r>
        <r>
          <rPr>
            <sz val="9"/>
            <color indexed="81"/>
            <rFont val="Tahoma"/>
            <family val="2"/>
          </rPr>
          <t xml:space="preserve">
si hay cambios, modificar en la plataforma WP</t>
        </r>
      </text>
    </comment>
  </commentList>
</comments>
</file>

<file path=xl/sharedStrings.xml><?xml version="1.0" encoding="utf-8"?>
<sst xmlns="http://schemas.openxmlformats.org/spreadsheetml/2006/main" count="1179" uniqueCount="631">
  <si>
    <t>FACTURAS PROFORMAS 2026</t>
  </si>
  <si>
    <t xml:space="preserve"> </t>
  </si>
  <si>
    <t>TRIP CATEGORY</t>
  </si>
  <si>
    <t>DATES OF THE TRIP</t>
  </si>
  <si>
    <t>AGENCY INFORMATION</t>
  </si>
  <si>
    <t>DEPOSIT</t>
  </si>
  <si>
    <t>FINAL PAYMENT</t>
  </si>
  <si>
    <t>Nº Tourplan</t>
  </si>
  <si>
    <t># REF</t>
  </si>
  <si>
    <t>Groups</t>
  </si>
  <si>
    <t>FIT</t>
  </si>
  <si>
    <t>Small FIT</t>
  </si>
  <si>
    <t>Shorex</t>
  </si>
  <si>
    <t>S. Services</t>
  </si>
  <si>
    <t>Agent Trip</t>
  </si>
  <si>
    <t>MfS OPS</t>
  </si>
  <si>
    <t>MfS Sales</t>
  </si>
  <si>
    <t># Invoice</t>
  </si>
  <si>
    <t>Date</t>
  </si>
  <si>
    <t>Travelers</t>
  </si>
  <si>
    <t>Pax</t>
  </si>
  <si>
    <t>Aviso</t>
  </si>
  <si>
    <t>Cobro</t>
  </si>
  <si>
    <t>Check in</t>
  </si>
  <si>
    <t>Check out</t>
  </si>
  <si>
    <t>Agency</t>
  </si>
  <si>
    <t>Parent Agency</t>
  </si>
  <si>
    <t>Nombre Agente</t>
  </si>
  <si>
    <t>Agent's e-mail</t>
  </si>
  <si>
    <t>IATA #</t>
  </si>
  <si>
    <t>Address</t>
  </si>
  <si>
    <t>City</t>
  </si>
  <si>
    <t>State</t>
  </si>
  <si>
    <t>Zip code</t>
  </si>
  <si>
    <t>Country</t>
  </si>
  <si>
    <t>Phone number</t>
  </si>
  <si>
    <t>GROUP</t>
  </si>
  <si>
    <t>Total Invoice</t>
  </si>
  <si>
    <t>Commission</t>
  </si>
  <si>
    <t>NET SALE</t>
  </si>
  <si>
    <t>EST. COST</t>
  </si>
  <si>
    <t>NET Profit</t>
  </si>
  <si>
    <t>Amount</t>
  </si>
  <si>
    <t>Charged</t>
  </si>
  <si>
    <t>Balance</t>
  </si>
  <si>
    <t>Payment</t>
  </si>
  <si>
    <t>Gross sale</t>
  </si>
  <si>
    <t>Acum.</t>
  </si>
  <si>
    <t>Profit</t>
  </si>
  <si>
    <t>Acum</t>
  </si>
  <si>
    <t xml:space="preserve">MFSP140835 </t>
  </si>
  <si>
    <t>CADENC</t>
  </si>
  <si>
    <t>x</t>
  </si>
  <si>
    <t>Patricia</t>
  </si>
  <si>
    <t>Gema</t>
  </si>
  <si>
    <t xml:space="preserve">Larson </t>
  </si>
  <si>
    <t xml:space="preserve">Cadence </t>
  </si>
  <si>
    <t>Jean Dustan</t>
  </si>
  <si>
    <t>jean.dustan@cadencetravel.com</t>
  </si>
  <si>
    <t>05515171</t>
  </si>
  <si>
    <t>7701 Herschel Ave</t>
  </si>
  <si>
    <t xml:space="preserve">La Jolla </t>
  </si>
  <si>
    <t>CL</t>
  </si>
  <si>
    <t>92037-5018</t>
  </si>
  <si>
    <t>USA</t>
  </si>
  <si>
    <t>Virtuoso</t>
  </si>
  <si>
    <t>SI</t>
  </si>
  <si>
    <t>FLYWIRE /AIRWALLEX</t>
  </si>
  <si>
    <t>MFS218971450/MFS935483917</t>
  </si>
  <si>
    <t>MFSP142500</t>
  </si>
  <si>
    <t>Leticia F</t>
  </si>
  <si>
    <t>Clare</t>
  </si>
  <si>
    <t xml:space="preserve">Thornton </t>
  </si>
  <si>
    <t xml:space="preserve">Thorton </t>
  </si>
  <si>
    <t>matthewlthornton@yahoo.com</t>
  </si>
  <si>
    <t>NA</t>
  </si>
  <si>
    <t>Viajeros directos/Otros</t>
  </si>
  <si>
    <t>FLYWIRE</t>
  </si>
  <si>
    <t>MFS374822064</t>
  </si>
  <si>
    <t>MFSP144190</t>
  </si>
  <si>
    <t xml:space="preserve">SIMN2T </t>
  </si>
  <si>
    <t>Sara</t>
  </si>
  <si>
    <t>Yaiza</t>
  </si>
  <si>
    <t> Panure &amp; Bruhn</t>
  </si>
  <si>
    <t xml:space="preserve">Simon2 Travel </t>
  </si>
  <si>
    <t xml:space="preserve"> Travel One, Inc</t>
  </si>
  <si>
    <t>Michelle Gagne</t>
  </si>
  <si>
    <t>MGagne@traveloneinc.com</t>
  </si>
  <si>
    <t>2001 Killebrew Drive Suite 305</t>
  </si>
  <si>
    <t>Minneapolis</t>
  </si>
  <si>
    <t>MN</t>
  </si>
  <si>
    <t>FLYWIRE/AIRWALLEX</t>
  </si>
  <si>
    <t>MFS415970062/MFS713089659/MFS931476185/MFS229666260</t>
  </si>
  <si>
    <t>MFSP144867</t>
  </si>
  <si>
    <t>Silvia Anton</t>
  </si>
  <si>
    <t>Maria</t>
  </si>
  <si>
    <t>Merrit family</t>
  </si>
  <si>
    <t xml:space="preserve">Friend-Trips, LLC </t>
  </si>
  <si>
    <t>Coastline Travel Group</t>
  </si>
  <si>
    <t>Heather Martin</t>
  </si>
  <si>
    <t>heather@friend-trips.com</t>
  </si>
  <si>
    <t>05504844</t>
  </si>
  <si>
    <t>1509 Waukegan Road #1186</t>
  </si>
  <si>
    <t>Glenview</t>
  </si>
  <si>
    <t>IL</t>
  </si>
  <si>
    <t>MFS616446512</t>
  </si>
  <si>
    <t>MFSP144877</t>
  </si>
  <si>
    <t xml:space="preserve">JACADA </t>
  </si>
  <si>
    <t>Inmaculada</t>
  </si>
  <si>
    <t>Pilar</t>
  </si>
  <si>
    <t> Notarfrancesco</t>
  </si>
  <si>
    <t xml:space="preserve">Jacada - Wilderness Safaris Ltd </t>
  </si>
  <si>
    <t>Meg Simpson</t>
  </si>
  <si>
    <t>megsimpson@jacadatravel.com</t>
  </si>
  <si>
    <t> 96023583</t>
  </si>
  <si>
    <t>Bentima House, 168-172 Old St.</t>
  </si>
  <si>
    <t>London</t>
  </si>
  <si>
    <t>EC1V 9BP</t>
  </si>
  <si>
    <t>UK</t>
  </si>
  <si>
    <t>Otras</t>
  </si>
  <si>
    <t>FLYWIRE/WIRE</t>
  </si>
  <si>
    <t>MFSP144985</t>
  </si>
  <si>
    <t>CAROLS</t>
  </si>
  <si>
    <t>Rebeca</t>
  </si>
  <si>
    <t>Teo</t>
  </si>
  <si>
    <t>Riter</t>
  </si>
  <si>
    <t>Carol's Travel Service</t>
  </si>
  <si>
    <t xml:space="preserve">FROSCH </t>
  </si>
  <si>
    <t>Amber Gentry</t>
  </si>
  <si>
    <t>amber.gentry@frosch.com</t>
  </si>
  <si>
    <t>21200 S. LaGrange Rd. Unit 358</t>
  </si>
  <si>
    <t xml:space="preserve">Frankfort </t>
  </si>
  <si>
    <t>Signature</t>
  </si>
  <si>
    <t>MFS963059317</t>
  </si>
  <si>
    <t>MFSP144535</t>
  </si>
  <si>
    <t>FORA00</t>
  </si>
  <si>
    <t>Daniel</t>
  </si>
  <si>
    <t>Sanderson &amp; Dorman</t>
  </si>
  <si>
    <t xml:space="preserve">Fora Travel </t>
  </si>
  <si>
    <t>Courtney Lanning</t>
  </si>
  <si>
    <t>cameron.zellner@fora.travel.com</t>
  </si>
  <si>
    <t>33520476</t>
  </si>
  <si>
    <t>228 Park Ave South #53272</t>
  </si>
  <si>
    <t xml:space="preserve">New York </t>
  </si>
  <si>
    <t xml:space="preserve">NY </t>
  </si>
  <si>
    <t>MFS934935287/MFS856383092</t>
  </si>
  <si>
    <t>MFSP144323</t>
  </si>
  <si>
    <t>MCCAB1</t>
  </si>
  <si>
    <t>Alba</t>
  </si>
  <si>
    <t>Zehr</t>
  </si>
  <si>
    <t xml:space="preserve">Jen Mitchell Travel </t>
  </si>
  <si>
    <t xml:space="preserve"> McCabe World Travel, Inc</t>
  </si>
  <si>
    <t>Jen Mitchell</t>
  </si>
  <si>
    <t>Jen@JenMitchellTravel.com</t>
  </si>
  <si>
    <t>1481 Chain Bridge Road, Suite 200</t>
  </si>
  <si>
    <t xml:space="preserve">McLean </t>
  </si>
  <si>
    <t>VA</t>
  </si>
  <si>
    <t>22101-5725</t>
  </si>
  <si>
    <t>NO</t>
  </si>
  <si>
    <t>FLYWIRE/ AIRWALLEX</t>
  </si>
  <si>
    <t>MFS657899181</t>
  </si>
  <si>
    <t>MFSP145750</t>
  </si>
  <si>
    <t xml:space="preserve">MCCABE </t>
  </si>
  <si>
    <t>Azahara</t>
  </si>
  <si>
    <t>Brandt and Moliver</t>
  </si>
  <si>
    <t>McCabe World Travel, Inc.</t>
  </si>
  <si>
    <t>Michelle Bemis</t>
  </si>
  <si>
    <t>michelle@mccabeworld.com</t>
  </si>
  <si>
    <t xml:space="preserve"> 49646332 </t>
  </si>
  <si>
    <t>1481 CHAIN BRIDGE ROAD Suite 200</t>
  </si>
  <si>
    <t>MFSP146190</t>
  </si>
  <si>
    <t xml:space="preserve">TCRAFT </t>
  </si>
  <si>
    <t> Braunig</t>
  </si>
  <si>
    <t xml:space="preserve">Travel Crafter, LLC </t>
  </si>
  <si>
    <t>Travel Experts</t>
  </si>
  <si>
    <t>Becky Craft</t>
  </si>
  <si>
    <t>info@travelcrafter.com</t>
  </si>
  <si>
    <t xml:space="preserve"> 34936580 </t>
  </si>
  <si>
    <t>4830 Line Avenue Suite 324</t>
  </si>
  <si>
    <t xml:space="preserve">Shreveport </t>
  </si>
  <si>
    <t>LA</t>
  </si>
  <si>
    <t>MFS448720105</t>
  </si>
  <si>
    <t>MFOF146420</t>
  </si>
  <si>
    <t xml:space="preserve">Erika </t>
  </si>
  <si>
    <t>Wiese</t>
  </si>
  <si>
    <t>McCabe World Travel, Inc</t>
  </si>
  <si>
    <t>Kristin Wiese</t>
  </si>
  <si>
    <t>Kristin@mccabeworld.com</t>
  </si>
  <si>
    <t>MFSP146749</t>
  </si>
  <si>
    <t>Gordon</t>
  </si>
  <si>
    <t>Private client</t>
  </si>
  <si>
    <t>Referral/Wendy Perrin</t>
  </si>
  <si>
    <t>MFSP146480</t>
  </si>
  <si>
    <t>Patton and McGrail</t>
  </si>
  <si>
    <t xml:space="preserve"> Luxe Worldwide Travel LLC </t>
  </si>
  <si>
    <t xml:space="preserve"> Montecito Village Travel</t>
  </si>
  <si>
    <t>Christina Gallegos</t>
  </si>
  <si>
    <t>chris.luxetravel@gmail.com</t>
  </si>
  <si>
    <t>05638684</t>
  </si>
  <si>
    <t>Loxahatchee</t>
  </si>
  <si>
    <t>FL</t>
  </si>
  <si>
    <t>Otras/Internova</t>
  </si>
  <si>
    <t>MFSP146584</t>
  </si>
  <si>
    <t>TRAVWC</t>
  </si>
  <si>
    <t> Pearlman</t>
  </si>
  <si>
    <t>Travel with Character</t>
  </si>
  <si>
    <t>Travel Leaders Network</t>
  </si>
  <si>
    <t>Lauren Quirk</t>
  </si>
  <si>
    <t>travelwithcharacter@gmail.com</t>
  </si>
  <si>
    <t xml:space="preserve"> 00003130 </t>
  </si>
  <si>
    <t>14320 Ventura Blvd. Suite 713</t>
  </si>
  <si>
    <t> Sherman Oaks</t>
  </si>
  <si>
    <t>CA</t>
  </si>
  <si>
    <t>MFSP146377</t>
  </si>
  <si>
    <t>JACADA</t>
  </si>
  <si>
    <t>Breuer</t>
  </si>
  <si>
    <t>Melania Siriu</t>
  </si>
  <si>
    <t>melania@jacadatravel.com</t>
  </si>
  <si>
    <t>Bentima House, 168-172 Old St</t>
  </si>
  <si>
    <t>WIRE</t>
  </si>
  <si>
    <t>MFSP146333</t>
  </si>
  <si>
    <t>PROT15</t>
  </si>
  <si>
    <t>Splain</t>
  </si>
  <si>
    <t>Provident Travel Corporation</t>
  </si>
  <si>
    <t>Wafa Langenbrunner</t>
  </si>
  <si>
    <t>wlangenbrunner@providenttravel.com</t>
  </si>
  <si>
    <t>11309 Montgomery Road</t>
  </si>
  <si>
    <t>Cincinnati</t>
  </si>
  <si>
    <t>OH</t>
  </si>
  <si>
    <t>45249-2379</t>
  </si>
  <si>
    <t>MFSP146912</t>
  </si>
  <si>
    <t xml:space="preserve">Teo </t>
  </si>
  <si>
    <t>Smith</t>
  </si>
  <si>
    <t>Jacada Travel</t>
  </si>
  <si>
    <t>Murray Mitchell</t>
  </si>
  <si>
    <t>murray@jacadatravel.com</t>
  </si>
  <si>
    <t>MFSP146846</t>
  </si>
  <si>
    <t xml:space="preserve">JIMERA </t>
  </si>
  <si>
    <t>Jimenez &amp; Pino</t>
  </si>
  <si>
    <t>Jim Eraso Travel, Inc</t>
  </si>
  <si>
    <t>Maritza Cura</t>
  </si>
  <si>
    <t>maritza@jimerasotravel.com</t>
  </si>
  <si>
    <t>50 W. Mashta Drive Suite 3</t>
  </si>
  <si>
    <t>Key Biscayne</t>
  </si>
  <si>
    <t>MFSP147101</t>
  </si>
  <si>
    <t>NAPLES</t>
  </si>
  <si>
    <t>Larson</t>
  </si>
  <si>
    <t>Preferred Travel &amp; Company</t>
  </si>
  <si>
    <t>Kit Mathews</t>
  </si>
  <si>
    <t>kit@preferrednaples.com</t>
  </si>
  <si>
    <t>5801 Pelican Bay Blvd, Suite 205</t>
  </si>
  <si>
    <t>Naples</t>
  </si>
  <si>
    <t>MFSP146047</t>
  </si>
  <si>
    <t xml:space="preserve">BOOKIT </t>
  </si>
  <si>
    <t>Deer</t>
  </si>
  <si>
    <t xml:space="preserve"> Bookitbox Travel </t>
  </si>
  <si>
    <t>Gifted Travel Network</t>
  </si>
  <si>
    <t>Erica Carr</t>
  </si>
  <si>
    <t>ecarr@bookitboxtravel.com</t>
  </si>
  <si>
    <t>Gainesville</t>
  </si>
  <si>
    <t>Fl</t>
  </si>
  <si>
    <t>MFSP146920</t>
  </si>
  <si>
    <t>TMARKE</t>
  </si>
  <si>
    <t xml:space="preserve">Pilar </t>
  </si>
  <si>
    <t>Wenz</t>
  </si>
  <si>
    <t>Direct Travel Mequon</t>
  </si>
  <si>
    <t>Deborah Trevino</t>
  </si>
  <si>
    <t>dtrevino@dt.com</t>
  </si>
  <si>
    <t> 10000 N. Pt. Washington Road</t>
  </si>
  <si>
    <t>Mequon</t>
  </si>
  <si>
    <t>WI</t>
  </si>
  <si>
    <t>MFSP146825</t>
  </si>
  <si>
    <t>Forbes</t>
  </si>
  <si>
    <t>Forbes Travel International Ltd.</t>
  </si>
  <si>
    <t> Sandra Forbes</t>
  </si>
  <si>
    <t>sforbes@dwpv.com</t>
  </si>
  <si>
    <t>900 West Hastings Street, 700</t>
  </si>
  <si>
    <t xml:space="preserve">Vancouver </t>
  </si>
  <si>
    <t>Canada</t>
  </si>
  <si>
    <t>Ensemble</t>
  </si>
  <si>
    <t>MFSP147532</t>
  </si>
  <si>
    <t>CADENH</t>
  </si>
  <si>
    <t xml:space="preserve">Marta </t>
  </si>
  <si>
    <t> Auerbach Family</t>
  </si>
  <si>
    <t>Hedy Travel</t>
  </si>
  <si>
    <t>CADENCE</t>
  </si>
  <si>
    <t>Hedy Marks</t>
  </si>
  <si>
    <t>hedy@hedytravel.com</t>
  </si>
  <si>
    <t>7701 Herschel Ave.</t>
  </si>
  <si>
    <t>La Jolla</t>
  </si>
  <si>
    <t>MFSP146212</t>
  </si>
  <si>
    <t xml:space="preserve">TREXPE </t>
  </si>
  <si>
    <t> Smith Family</t>
  </si>
  <si>
    <t>Travel Experts Inc.</t>
  </si>
  <si>
    <t>Birgit Allen</t>
  </si>
  <si>
    <t>birgitallen@gmail.com</t>
  </si>
  <si>
    <t>212 SAWMILL ROAD</t>
  </si>
  <si>
    <t>Raleigh</t>
  </si>
  <si>
    <t>NC</t>
  </si>
  <si>
    <t>MFSP147136</t>
  </si>
  <si>
    <t xml:space="preserve">CREXCE </t>
  </si>
  <si>
    <t>Irene A</t>
  </si>
  <si>
    <t>Thomas Moran</t>
  </si>
  <si>
    <t> Excel Cruises &amp; Tours</t>
  </si>
  <si>
    <t>Peter Menken</t>
  </si>
  <si>
    <t>excelcruises@aol.com</t>
  </si>
  <si>
    <t>33580691</t>
  </si>
  <si>
    <t>507 Stormville Mountain Road</t>
  </si>
  <si>
    <t>Stormville</t>
  </si>
  <si>
    <t>MFSP147049</t>
  </si>
  <si>
    <t xml:space="preserve">Yaiza </t>
  </si>
  <si>
    <t>Mandel, Albert &amp; Buckenham</t>
  </si>
  <si>
    <t>Georgia Fearnley</t>
  </si>
  <si>
    <t>georgiafearnley@jacadatravel.com</t>
  </si>
  <si>
    <t>MFSP147557</t>
  </si>
  <si>
    <t xml:space="preserve">SANBO1 </t>
  </si>
  <si>
    <t xml:space="preserve">Daniel </t>
  </si>
  <si>
    <t>Collins</t>
  </si>
  <si>
    <t>GSC World Travel</t>
  </si>
  <si>
    <t> Alicia Doak</t>
  </si>
  <si>
    <t>aliciadoak@gscworldtravel.com</t>
  </si>
  <si>
    <t>PO Box 6329</t>
  </si>
  <si>
    <t>Corpus Christi</t>
  </si>
  <si>
    <t>TX</t>
  </si>
  <si>
    <t>78466-6329</t>
  </si>
  <si>
    <t>MFSP147536</t>
  </si>
  <si>
    <t>Mays</t>
  </si>
  <si>
    <t>Sean Adams</t>
  </si>
  <si>
    <t>seanadams@jacadatravel.com</t>
  </si>
  <si>
    <t>MFSP147675</t>
  </si>
  <si>
    <t xml:space="preserve">Julia </t>
  </si>
  <si>
    <t>Behringer</t>
  </si>
  <si>
    <t> Jacada Travel</t>
  </si>
  <si>
    <t>MFSP142832</t>
  </si>
  <si>
    <t>TRSTPV</t>
  </si>
  <si>
    <t>McNamara</t>
  </si>
  <si>
    <t>TravelStore - Palos Verdes/South Bay</t>
  </si>
  <si>
    <t>Florence Brethome</t>
  </si>
  <si>
    <t> florence.b@travelstore.com</t>
  </si>
  <si>
    <t>05654051</t>
  </si>
  <si>
    <t>24 Malaga Cove Plaza</t>
  </si>
  <si>
    <t>Palos Verdes Estates</t>
  </si>
  <si>
    <t>90274</t>
  </si>
  <si>
    <t>MFSP147132</t>
  </si>
  <si>
    <t>SRTRAV</t>
  </si>
  <si>
    <t>Thomas/Libera/Rabkin/Tom</t>
  </si>
  <si>
    <t>Direct Travel Luxe - San Francisco</t>
  </si>
  <si>
    <t>Pamela Berelson</t>
  </si>
  <si>
    <t>pberelson@dt.com</t>
  </si>
  <si>
    <t>05840833</t>
  </si>
  <si>
    <t>1723 Hamilton Avenue</t>
  </si>
  <si>
    <t> San Jose</t>
  </si>
  <si>
    <t>WIRE/AIRWALLEX</t>
  </si>
  <si>
    <t>MFSP147873</t>
  </si>
  <si>
    <t>RYJANK</t>
  </si>
  <si>
    <t>Jankow (PLANNING FEE)</t>
  </si>
  <si>
    <t>Viajeros directos/Agencia</t>
  </si>
  <si>
    <t>MFSP146974</t>
  </si>
  <si>
    <t>LARGAY</t>
  </si>
  <si>
    <t>Blum</t>
  </si>
  <si>
    <t> Largay Travel</t>
  </si>
  <si>
    <t>Janet Lewis</t>
  </si>
  <si>
    <t>janet@largaytravel.com</t>
  </si>
  <si>
    <t>07671613</t>
  </si>
  <si>
    <t>1525 Hamilton Ave.</t>
  </si>
  <si>
    <t>Waterbury</t>
  </si>
  <si>
    <t>CT</t>
  </si>
  <si>
    <t>MFSP144480</t>
  </si>
  <si>
    <t xml:space="preserve">TRSTLA </t>
  </si>
  <si>
    <t>Magarian</t>
  </si>
  <si>
    <t>TravelStore - Los Angeles</t>
  </si>
  <si>
    <t>David Renshaw</t>
  </si>
  <si>
    <t>david@wellworthtravel.com</t>
  </si>
  <si>
    <t>05892961</t>
  </si>
  <si>
    <t>11538 San Vicente Blvd</t>
  </si>
  <si>
    <t>Los Angeles</t>
  </si>
  <si>
    <t>MFSP147290</t>
  </si>
  <si>
    <t xml:space="preserve">CRVACA </t>
  </si>
  <si>
    <t>Leginus</t>
  </si>
  <si>
    <t>Cruise Vacations International</t>
  </si>
  <si>
    <t>Patty Perry</t>
  </si>
  <si>
    <t>patty@cvitravel.com</t>
  </si>
  <si>
    <t>29L Atlantic Ave  #325</t>
  </si>
  <si>
    <t>Ocean View</t>
  </si>
  <si>
    <t>DE</t>
  </si>
  <si>
    <t>MFSP147720</t>
  </si>
  <si>
    <t>Barry</t>
  </si>
  <si>
    <t>Luisa Armandine</t>
  </si>
  <si>
    <t>luisaarmandine@jacadatravel.com</t>
  </si>
  <si>
    <t>WIRE/FLYWIRE</t>
  </si>
  <si>
    <t>MFSP147336</t>
  </si>
  <si>
    <t>Gamble</t>
  </si>
  <si>
    <t>MFSP147987</t>
  </si>
  <si>
    <t>Plumer, Deborah</t>
  </si>
  <si>
    <t>Deborah Plumer</t>
  </si>
  <si>
    <t>plumers@aol.com</t>
  </si>
  <si>
    <t>MFSP138301</t>
  </si>
  <si>
    <t xml:space="preserve">GAILTR </t>
  </si>
  <si>
    <t>Schinik family</t>
  </si>
  <si>
    <t xml:space="preserve">Gail´s Travel </t>
  </si>
  <si>
    <t xml:space="preserve"> TravelStore - Palos Verdes</t>
  </si>
  <si>
    <t>Gail Woloz</t>
  </si>
  <si>
    <t>gail@gailstravel.com</t>
  </si>
  <si>
    <t>Manhattan Beach</t>
  </si>
  <si>
    <t>Palos Verdes</t>
  </si>
  <si>
    <t>MFSP147772</t>
  </si>
  <si>
    <t xml:space="preserve">TVEE25 </t>
  </si>
  <si>
    <t>White</t>
  </si>
  <si>
    <t>Travel Edge - Toronto</t>
  </si>
  <si>
    <t>Janet Simic</t>
  </si>
  <si>
    <t>janet.simic@traveledge.com</t>
  </si>
  <si>
    <t>2 Queen St E Suite 600</t>
  </si>
  <si>
    <t xml:space="preserve">Toronto </t>
  </si>
  <si>
    <t>M5C 3G5</t>
  </si>
  <si>
    <t>MFSP147864</t>
  </si>
  <si>
    <t xml:space="preserve">PROT16 </t>
  </si>
  <si>
    <t>Baker</t>
  </si>
  <si>
    <t>Provident Travel Corporation - Comcommato</t>
  </si>
  <si>
    <t>Ellen Wyler</t>
  </si>
  <si>
    <t>ewyler@providenttravel.com</t>
  </si>
  <si>
    <t>3880 Paxton Ave Suite P</t>
  </si>
  <si>
    <t>MFSP147160</t>
  </si>
  <si>
    <t>Nash &amp; Forrest (MFSP117231)</t>
  </si>
  <si>
    <t>Adventures for Alaskans</t>
  </si>
  <si>
    <t>Diane Nigg</t>
  </si>
  <si>
    <t>diane@adventuresforalaskans.com</t>
  </si>
  <si>
    <t>02566012</t>
  </si>
  <si>
    <t> PO Box 221983</t>
  </si>
  <si>
    <t>Anchorage</t>
  </si>
  <si>
    <t>AK</t>
  </si>
  <si>
    <t>MFSP148021</t>
  </si>
  <si>
    <t>Banu</t>
  </si>
  <si>
    <t>MFSP148054</t>
  </si>
  <si>
    <t>Peter J. Butler</t>
  </si>
  <si>
    <t>NORWEGIAN ADVENTURES</t>
  </si>
  <si>
    <t>Miriam Paige</t>
  </si>
  <si>
    <t>miriam@norwegian-adventures.com</t>
  </si>
  <si>
    <t>Camilla Collettsvei 9b</t>
  </si>
  <si>
    <t>Oslo</t>
  </si>
  <si>
    <t>0258</t>
  </si>
  <si>
    <t>Norway</t>
  </si>
  <si>
    <t>Referral/Agencia</t>
  </si>
  <si>
    <t>MFSP148098</t>
  </si>
  <si>
    <t>Weismann family (VIAJE CANCELADO)</t>
  </si>
  <si>
    <t>MFSP147737</t>
  </si>
  <si>
    <t xml:space="preserve">HUFFM1 </t>
  </si>
  <si>
    <t xml:space="preserve">Cowan </t>
  </si>
  <si>
    <t>Huffman Travel</t>
  </si>
  <si>
    <t>Andre Koester</t>
  </si>
  <si>
    <t>andre@huffmantravel.com</t>
  </si>
  <si>
    <t>2507 Far Hills Ave</t>
  </si>
  <si>
    <t>Oakwood</t>
  </si>
  <si>
    <t>45419-1505</t>
  </si>
  <si>
    <t>MFSP147278</t>
  </si>
  <si>
    <t>TZ1001</t>
  </si>
  <si>
    <t>Simon &amp; Brusa</t>
  </si>
  <si>
    <t>Travel 100 Group, Inc</t>
  </si>
  <si>
    <t>Peggy Miller</t>
  </si>
  <si>
    <t>peggy@t100g.com</t>
  </si>
  <si>
    <t>225 Northfield Road</t>
  </si>
  <si>
    <t>Northfield</t>
  </si>
  <si>
    <t>MFSP146775</t>
  </si>
  <si>
    <t>Shepherd</t>
  </si>
  <si>
    <t> Vacation Ever After</t>
  </si>
  <si>
    <t>Amy PeavySmith</t>
  </si>
  <si>
    <t>amy@vacationeverafter.com</t>
  </si>
  <si>
    <t>9341 Brinbury St,</t>
  </si>
  <si>
    <t>Orlando</t>
  </si>
  <si>
    <t>MFSP147213</t>
  </si>
  <si>
    <t>ELYSIA</t>
  </si>
  <si>
    <t>DePowell</t>
  </si>
  <si>
    <t>Elysian Travel</t>
  </si>
  <si>
    <t> Trish Injaychock</t>
  </si>
  <si>
    <t>Trish@elysian-travel.com</t>
  </si>
  <si>
    <t>347 W 36th Street Suite 700</t>
  </si>
  <si>
    <t xml:space="preserve">New York City, </t>
  </si>
  <si>
    <t>MFSP147723</t>
  </si>
  <si>
    <t xml:space="preserve">YORBLI </t>
  </si>
  <si>
    <t>Jon Mills</t>
  </si>
  <si>
    <t> Yorba Linda Travel</t>
  </si>
  <si>
    <t>Marsha Dolbow</t>
  </si>
  <si>
    <t>mdolbow@yorbalindatravel.com</t>
  </si>
  <si>
    <t>05785452</t>
  </si>
  <si>
    <t>4893 Main Street</t>
  </si>
  <si>
    <t>Yorba Linda</t>
  </si>
  <si>
    <t>92886-3469</t>
  </si>
  <si>
    <t>MFSP148007</t>
  </si>
  <si>
    <t xml:space="preserve">HIGRAN </t>
  </si>
  <si>
    <t>Shockley</t>
  </si>
  <si>
    <t>Highlands Ranch Travel</t>
  </si>
  <si>
    <t> Dan Kraft</t>
  </si>
  <si>
    <t>dan@hrtvl.com</t>
  </si>
  <si>
    <t>06800625</t>
  </si>
  <si>
    <t> 541 W. Highlands Ranch Pkwy Bldg 2, Suite 110</t>
  </si>
  <si>
    <t>Highlands Ranch</t>
  </si>
  <si>
    <t>CO</t>
  </si>
  <si>
    <t>MFSP147961</t>
  </si>
  <si>
    <t xml:space="preserve">1000M1 </t>
  </si>
  <si>
    <t>Kelly</t>
  </si>
  <si>
    <t>JSR Travel</t>
  </si>
  <si>
    <t>Jackie Roche</t>
  </si>
  <si>
    <t>jackie@jsrtraveldenver.com</t>
  </si>
  <si>
    <t>05655296</t>
  </si>
  <si>
    <t>2120 S 72nd St. Suite 450</t>
  </si>
  <si>
    <t>Omaha</t>
  </si>
  <si>
    <t>NE</t>
  </si>
  <si>
    <t>MFSP147654</t>
  </si>
  <si>
    <t xml:space="preserve">GIFTEA </t>
  </si>
  <si>
    <t>Kimmel</t>
  </si>
  <si>
    <t>Ortensia Blu Travel Adventures</t>
  </si>
  <si>
    <t> Jeannine Pascal</t>
  </si>
  <si>
    <t>jeannine@ortensiablu.com</t>
  </si>
  <si>
    <t>14 Farm Hill Road</t>
  </si>
  <si>
    <t>Stamford</t>
  </si>
  <si>
    <t>MFSP148075</t>
  </si>
  <si>
    <t xml:space="preserve">SMARTF </t>
  </si>
  <si>
    <t> Kyle Wilson</t>
  </si>
  <si>
    <t>SmartFlyer - New York</t>
  </si>
  <si>
    <t>Laura Epstein</t>
  </si>
  <si>
    <t>laura.epstein@smartflyer.com</t>
  </si>
  <si>
    <t xml:space="preserve">33674255 </t>
  </si>
  <si>
    <t>530 W. 25th Street, Penthouse</t>
  </si>
  <si>
    <t>MFSP147954</t>
  </si>
  <si>
    <t>Daggs</t>
  </si>
  <si>
    <t>James Wakelin</t>
  </si>
  <si>
    <t>jameswakelin@jacadatravel.com</t>
  </si>
  <si>
    <t>MFSP148121</t>
  </si>
  <si>
    <t>Saunders family</t>
  </si>
  <si>
    <t>Haute Black</t>
  </si>
  <si>
    <t>Marlene Azeez</t>
  </si>
  <si>
    <t>marlene@hauteblack.com</t>
  </si>
  <si>
    <t>MFSP147215</t>
  </si>
  <si>
    <t xml:space="preserve">WTTEXA </t>
  </si>
  <si>
    <t>Salley &amp; Diaz</t>
  </si>
  <si>
    <t>Well Traveled Texan</t>
  </si>
  <si>
    <t>Molly Strange</t>
  </si>
  <si>
    <t>Molly@welltraveledtexan.com</t>
  </si>
  <si>
    <t>8955 Katy Freeway, Suite #101</t>
  </si>
  <si>
    <t>Houston</t>
  </si>
  <si>
    <t>MFSP147742</t>
  </si>
  <si>
    <t>EARLET</t>
  </si>
  <si>
    <t>Robb &amp; Singer</t>
  </si>
  <si>
    <t>Earle Travel Co.</t>
  </si>
  <si>
    <t>Miguel Aguirre</t>
  </si>
  <si>
    <t>miguel@earletravel.com</t>
  </si>
  <si>
    <t>6151 Central Avenue</t>
  </si>
  <si>
    <t>Indianapolis</t>
  </si>
  <si>
    <t>IN</t>
  </si>
  <si>
    <t>MFSP147652</t>
  </si>
  <si>
    <t xml:space="preserve">BLACKT </t>
  </si>
  <si>
    <t>Roe</t>
  </si>
  <si>
    <t>Black Tomato</t>
  </si>
  <si>
    <t>Anna Sharman</t>
  </si>
  <si>
    <t> Anna.Sharman@blacktomato.com</t>
  </si>
  <si>
    <t>4 Tabernacle Street</t>
  </si>
  <si>
    <t>EC2A 4LU</t>
  </si>
  <si>
    <t>MFSP147176</t>
  </si>
  <si>
    <t>Kesslen</t>
  </si>
  <si>
    <t>Travel Experts Inc</t>
  </si>
  <si>
    <t>Marcy Kalish</t>
  </si>
  <si>
    <t>marcykalish@gmail.com</t>
  </si>
  <si>
    <t>MFSP148454</t>
  </si>
  <si>
    <t>Ullman</t>
  </si>
  <si>
    <t>Janet Mclaughlin</t>
  </si>
  <si>
    <t>jmclaughlin@providenttravel.com</t>
  </si>
  <si>
    <t>MFSP148155</t>
  </si>
  <si>
    <t xml:space="preserve">MONTE8 </t>
  </si>
  <si>
    <t>Lopez Family</t>
  </si>
  <si>
    <t>Sheila McNaughton</t>
  </si>
  <si>
    <t>sheila@elysian-travel.com</t>
  </si>
  <si>
    <t>3329 State Street</t>
  </si>
  <si>
    <t>Santa Barbara</t>
  </si>
  <si>
    <t>MFSP147996</t>
  </si>
  <si>
    <t xml:space="preserve">WORLDT </t>
  </si>
  <si>
    <t>Lee (VIAJE CANCELADO)</t>
  </si>
  <si>
    <t>World Travel Mates</t>
  </si>
  <si>
    <t>Candy</t>
  </si>
  <si>
    <t>candy@worldtravelmates.com</t>
  </si>
  <si>
    <t>Charlotte</t>
  </si>
  <si>
    <t>MFSP146983</t>
  </si>
  <si>
    <t>Curren &amp; Perry</t>
  </si>
  <si>
    <t>Inspired Moments Travel</t>
  </si>
  <si>
    <t>Abby Pocock</t>
  </si>
  <si>
    <t>abby@inspiredmomentstravel.com</t>
  </si>
  <si>
    <t>4261 EAST UNIVERSITY DRIVE, SUITE 30-505</t>
  </si>
  <si>
    <t>Prosper</t>
  </si>
  <si>
    <t>MFSP148056</t>
  </si>
  <si>
    <t>FORETA</t>
  </si>
  <si>
    <t>Bosch</t>
  </si>
  <si>
    <t>Forest Travel Agency</t>
  </si>
  <si>
    <t> Alexandra Vega</t>
  </si>
  <si>
    <t>alexandra@foresttravel.com</t>
  </si>
  <si>
    <t>2440 N. E. Miami Gardens Drive Suite 107</t>
  </si>
  <si>
    <t>Miami Beach</t>
  </si>
  <si>
    <t>MFSP145933</t>
  </si>
  <si>
    <t>Rosenstein</t>
  </si>
  <si>
    <t>MFSP148078</t>
  </si>
  <si>
    <t>GIFT20</t>
  </si>
  <si>
    <t>Phillips</t>
  </si>
  <si>
    <t>Victory Travel LLC</t>
  </si>
  <si>
    <t>Wendy Higgins</t>
  </si>
  <si>
    <t>Wendy@YourVictoryTravel.com</t>
  </si>
  <si>
    <t>60 Seaview Terrace</t>
  </si>
  <si>
    <t>Bridgeport</t>
  </si>
  <si>
    <t>MFSP147452</t>
  </si>
  <si>
    <t xml:space="preserve">COVIN2 </t>
  </si>
  <si>
    <t>Steele &amp; Wiley</t>
  </si>
  <si>
    <t>Covington Travel- Glen Allen</t>
  </si>
  <si>
    <t>Rosemary Hodges</t>
  </si>
  <si>
    <t>rosemaryh@covtrav.com</t>
  </si>
  <si>
    <t>4800 Cox Rd</t>
  </si>
  <si>
    <t>Glen Allen</t>
  </si>
  <si>
    <t>23060-6538</t>
  </si>
  <si>
    <t>MFSP148353</t>
  </si>
  <si>
    <t xml:space="preserve">GATEWA </t>
  </si>
  <si>
    <t>Wecker</t>
  </si>
  <si>
    <t>Gateway Travel Service</t>
  </si>
  <si>
    <t>Roseann Konke</t>
  </si>
  <si>
    <t>Roseann@gatewaytrvl.com</t>
  </si>
  <si>
    <t>28470 13 MILE ROAD Suite 200</t>
  </si>
  <si>
    <t>Farmington Hills</t>
  </si>
  <si>
    <t>MI</t>
  </si>
  <si>
    <t>48334-5400</t>
  </si>
  <si>
    <t>MFSP148172</t>
  </si>
  <si>
    <t xml:space="preserve">GRIFF1 </t>
  </si>
  <si>
    <t>Schwartzberg</t>
  </si>
  <si>
    <t xml:space="preserve">Travelmark </t>
  </si>
  <si>
    <t>Griffin Americas</t>
  </si>
  <si>
    <t>Mark Faigen</t>
  </si>
  <si>
    <t>Mark.Faigen@atpi.com</t>
  </si>
  <si>
    <t>2211 Norfolk Street, Suite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</si>
</sst>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[$$-540A]#,##0.00_ ;\-[$$-540A]#,##0.00\ "/>
    <numFmt numFmtId="165" formatCode="_-* #,##0\ &quot;€&quot;_-;\-* #,##0\ &quot;€&quot;_-;_-* &quot;-&quot;??\ &quot;€&quot;_-;_-@_-"/>
    <numFmt numFmtId="166" formatCode="dd\-mm\-yy;@"/>
    <numFmt numFmtId="167" formatCode="dd/mm/yyyy;@"/>
    <numFmt numFmtId="168" formatCode="_(&quot;€&quot;* #,##0.00_);_(&quot;€&quot;* \(#,##0.00\);_(&quot;€&quot;* &quot;-&quot;??_);_(@_)"/>
    <numFmt numFmtId="169" formatCode="_-* #,##0\ _€_-;\-* #,##0\ _€_-;_-* &quot;-&quot;??\ _€_-;_-@_-"/>
    <numFmt numFmtId="170" formatCode="_-* #,##0.00\ [$€-C0A]_-;\-* #,##0.00\ [$€-C0A]_-;_-* &quot;-&quot;??\ [$€-C0A]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b/>
      <sz val="12"/>
      <color rgb="FFFF0000"/>
      <name val="Garamond"/>
      <family val="1"/>
    </font>
    <font>
      <b/>
      <sz val="12"/>
      <name val="Garamond"/>
      <family val="1"/>
    </font>
    <font>
      <b/>
      <sz val="12"/>
      <color rgb="FF00B050"/>
      <name val="Garamond"/>
      <family val="1"/>
    </font>
    <font>
      <u/>
      <sz val="12"/>
      <color indexed="12"/>
      <name val="Garamond"/>
      <family val="1"/>
    </font>
    <font>
      <sz val="12"/>
      <name val="Garamond"/>
      <family val="1"/>
    </font>
    <font>
      <b/>
      <sz val="12"/>
      <color rgb="FFCC9900"/>
      <name val="Garamond"/>
      <family val="1"/>
    </font>
    <font>
      <b/>
      <sz val="12"/>
      <color rgb="FFEE0000"/>
      <name val="Garamond"/>
      <family val="1"/>
    </font>
    <font>
      <b/>
      <sz val="12"/>
      <color rgb="FF00B0F0"/>
      <name val="Garamond"/>
      <family val="1"/>
    </font>
    <font>
      <sz val="12"/>
      <color theme="1"/>
      <name val="Aptos Narrow"/>
      <family val="2"/>
      <scheme val="minor"/>
    </font>
    <font>
      <b/>
      <sz val="12"/>
      <color theme="1" tint="4.9989318521683403E-2"/>
      <name val="Garamond"/>
      <family val="1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0">
    <xf numFmtId="0" fontId="0" fillId="0" borderId="0" xfId="0"/>
    <xf numFmtId="164" fontId="2" fillId="2" borderId="0" xfId="0" applyNumberFormat="1" applyFont="1" applyFill="1" applyAlignment="1">
      <alignment horizontal="center" vertical="top"/>
    </xf>
    <xf numFmtId="164" fontId="2" fillId="2" borderId="0" xfId="0" applyNumberFormat="1" applyFont="1" applyFill="1" applyAlignment="1">
      <alignment horizontal="left" vertical="top"/>
    </xf>
    <xf numFmtId="164" fontId="2" fillId="2" borderId="0" xfId="0" applyNumberFormat="1" applyFont="1" applyFill="1"/>
    <xf numFmtId="165" fontId="2" fillId="0" borderId="0" xfId="0" applyNumberFormat="1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  <xf numFmtId="164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vertical="top"/>
    </xf>
    <xf numFmtId="167" fontId="3" fillId="3" borderId="0" xfId="0" applyNumberFormat="1" applyFont="1" applyFill="1"/>
    <xf numFmtId="49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/>
    </xf>
    <xf numFmtId="164" fontId="2" fillId="4" borderId="0" xfId="0" applyNumberFormat="1" applyFont="1" applyFill="1"/>
    <xf numFmtId="164" fontId="2" fillId="5" borderId="0" xfId="0" applyNumberFormat="1" applyFont="1" applyFill="1"/>
    <xf numFmtId="164" fontId="2" fillId="0" borderId="0" xfId="0" applyNumberFormat="1" applyFont="1"/>
    <xf numFmtId="164" fontId="2" fillId="6" borderId="0" xfId="0" applyNumberFormat="1" applyFont="1" applyFill="1"/>
    <xf numFmtId="164" fontId="4" fillId="0" borderId="0" xfId="0" applyNumberFormat="1" applyFont="1"/>
    <xf numFmtId="164" fontId="4" fillId="0" borderId="1" xfId="0" applyNumberFormat="1" applyFont="1" applyBorder="1" applyAlignment="1">
      <alignment horizontal="center" vertical="top"/>
    </xf>
    <xf numFmtId="168" fontId="4" fillId="0" borderId="0" xfId="0" applyNumberFormat="1" applyFont="1"/>
    <xf numFmtId="14" fontId="4" fillId="0" borderId="0" xfId="0" applyNumberFormat="1" applyFont="1"/>
    <xf numFmtId="164" fontId="4" fillId="0" borderId="0" xfId="0" applyNumberFormat="1" applyFont="1" applyAlignment="1">
      <alignment horizontal="center" vertical="top"/>
    </xf>
    <xf numFmtId="14" fontId="2" fillId="0" borderId="0" xfId="0" applyNumberFormat="1" applyFont="1"/>
    <xf numFmtId="164" fontId="2" fillId="0" borderId="0" xfId="0" applyNumberFormat="1" applyFont="1" applyAlignment="1">
      <alignment horizontal="left" vertical="top"/>
    </xf>
    <xf numFmtId="169" fontId="2" fillId="4" borderId="0" xfId="0" applyNumberFormat="1" applyFont="1" applyFill="1" applyAlignment="1">
      <alignment horizontal="center" vertical="top"/>
    </xf>
    <xf numFmtId="169" fontId="2" fillId="2" borderId="0" xfId="0" applyNumberFormat="1" applyFont="1" applyFill="1" applyAlignment="1">
      <alignment horizontal="center" vertical="top"/>
    </xf>
    <xf numFmtId="169" fontId="2" fillId="5" borderId="0" xfId="0" applyNumberFormat="1" applyFont="1" applyFill="1" applyAlignment="1">
      <alignment horizontal="center" vertical="top"/>
    </xf>
    <xf numFmtId="169" fontId="2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168" fontId="5" fillId="0" borderId="0" xfId="0" applyNumberFormat="1" applyFont="1"/>
    <xf numFmtId="14" fontId="5" fillId="0" borderId="0" xfId="0" applyNumberFormat="1" applyFont="1"/>
    <xf numFmtId="164" fontId="6" fillId="0" borderId="0" xfId="0" applyNumberFormat="1" applyFont="1" applyAlignment="1">
      <alignment horizontal="center" vertical="top"/>
    </xf>
    <xf numFmtId="10" fontId="2" fillId="0" borderId="0" xfId="0" applyNumberFormat="1" applyFont="1" applyAlignment="1">
      <alignment horizontal="center" vertical="top"/>
    </xf>
    <xf numFmtId="1" fontId="2" fillId="7" borderId="0" xfId="0" applyNumberFormat="1" applyFont="1" applyFill="1" applyAlignment="1">
      <alignment horizontal="center" vertical="top"/>
    </xf>
    <xf numFmtId="1" fontId="2" fillId="8" borderId="0" xfId="0" applyNumberFormat="1" applyFont="1" applyFill="1" applyAlignment="1">
      <alignment horizontal="center" vertical="top"/>
    </xf>
    <xf numFmtId="167" fontId="2" fillId="3" borderId="0" xfId="0" applyNumberFormat="1" applyFont="1" applyFill="1"/>
    <xf numFmtId="164" fontId="2" fillId="0" borderId="0" xfId="0" applyNumberFormat="1" applyFont="1" applyAlignment="1">
      <alignment horizontal="center"/>
    </xf>
    <xf numFmtId="164" fontId="2" fillId="4" borderId="0" xfId="0" applyNumberFormat="1" applyFont="1" applyFill="1" applyAlignment="1">
      <alignment horizontal="center" vertical="top"/>
    </xf>
    <xf numFmtId="164" fontId="2" fillId="5" borderId="0" xfId="0" applyNumberFormat="1" applyFont="1" applyFill="1" applyAlignment="1">
      <alignment horizontal="center" vertical="top"/>
    </xf>
    <xf numFmtId="164" fontId="2" fillId="6" borderId="0" xfId="0" applyNumberFormat="1" applyFont="1" applyFill="1" applyAlignment="1">
      <alignment horizontal="center" vertical="top"/>
    </xf>
    <xf numFmtId="168" fontId="5" fillId="0" borderId="0" xfId="0" applyNumberFormat="1" applyFont="1" applyAlignment="1">
      <alignment horizontal="center" vertical="top"/>
    </xf>
    <xf numFmtId="14" fontId="5" fillId="0" borderId="0" xfId="0" applyNumberFormat="1" applyFont="1" applyAlignment="1">
      <alignment horizontal="center" vertical="top"/>
    </xf>
    <xf numFmtId="164" fontId="6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9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4" fontId="3" fillId="7" borderId="0" xfId="0" applyNumberFormat="1" applyFont="1" applyFill="1" applyAlignment="1">
      <alignment horizontal="center" vertical="top"/>
    </xf>
    <xf numFmtId="14" fontId="3" fillId="8" borderId="0" xfId="0" applyNumberFormat="1" applyFont="1" applyFill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165" fontId="2" fillId="4" borderId="0" xfId="0" applyNumberFormat="1" applyFont="1" applyFill="1" applyAlignment="1">
      <alignment horizontal="center" vertical="top"/>
    </xf>
    <xf numFmtId="165" fontId="2" fillId="2" borderId="0" xfId="0" applyNumberFormat="1" applyFont="1" applyFill="1"/>
    <xf numFmtId="165" fontId="2" fillId="5" borderId="0" xfId="0" applyNumberFormat="1" applyFont="1" applyFill="1" applyAlignment="1">
      <alignment horizontal="center" vertical="top"/>
    </xf>
    <xf numFmtId="170" fontId="2" fillId="0" borderId="0" xfId="1" applyNumberFormat="1" applyFont="1" applyAlignment="1">
      <alignment horizontal="right" vertical="top"/>
    </xf>
    <xf numFmtId="165" fontId="2" fillId="6" borderId="0" xfId="0" applyNumberFormat="1" applyFont="1" applyFill="1" applyAlignment="1">
      <alignment horizontal="center" vertical="top"/>
    </xf>
    <xf numFmtId="165" fontId="3" fillId="0" borderId="0" xfId="0" applyNumberFormat="1" applyFont="1"/>
    <xf numFmtId="165" fontId="2" fillId="0" borderId="0" xfId="0" applyNumberFormat="1" applyFont="1"/>
    <xf numFmtId="14" fontId="3" fillId="0" borderId="0" xfId="0" applyNumberFormat="1" applyFont="1"/>
    <xf numFmtId="165" fontId="6" fillId="2" borderId="0" xfId="0" applyNumberFormat="1" applyFont="1" applyFill="1"/>
    <xf numFmtId="14" fontId="5" fillId="0" borderId="1" xfId="0" applyNumberFormat="1" applyFont="1" applyBorder="1" applyAlignment="1">
      <alignment horizontal="center"/>
    </xf>
    <xf numFmtId="170" fontId="5" fillId="0" borderId="0" xfId="1" applyNumberFormat="1" applyFont="1" applyAlignment="1">
      <alignment horizontal="right" vertical="top"/>
    </xf>
    <xf numFmtId="170" fontId="9" fillId="0" borderId="0" xfId="1" applyNumberFormat="1" applyFont="1" applyAlignment="1">
      <alignment horizontal="right" vertical="top"/>
    </xf>
    <xf numFmtId="14" fontId="9" fillId="0" borderId="0" xfId="0" applyNumberFormat="1" applyFont="1"/>
    <xf numFmtId="164" fontId="9" fillId="0" borderId="0" xfId="0" applyNumberFormat="1" applyFont="1" applyAlignment="1">
      <alignment horizontal="center" vertical="top"/>
    </xf>
    <xf numFmtId="14" fontId="10" fillId="0" borderId="1" xfId="0" applyNumberFormat="1" applyFont="1" applyBorder="1" applyAlignment="1">
      <alignment horizontal="center" vertical="top"/>
    </xf>
    <xf numFmtId="170" fontId="11" fillId="0" borderId="0" xfId="1" applyNumberFormat="1" applyFont="1" applyAlignment="1">
      <alignment horizontal="right" vertical="top"/>
    </xf>
    <xf numFmtId="14" fontId="11" fillId="0" borderId="0" xfId="0" applyNumberFormat="1" applyFont="1"/>
    <xf numFmtId="164" fontId="11" fillId="0" borderId="0" xfId="0" applyNumberFormat="1" applyFont="1" applyAlignment="1">
      <alignment horizontal="center" vertical="top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4" fontId="4" fillId="0" borderId="1" xfId="0" applyNumberFormat="1" applyFont="1" applyBorder="1" applyAlignment="1">
      <alignment horizontal="center" vertical="top"/>
    </xf>
    <xf numFmtId="170" fontId="13" fillId="0" borderId="0" xfId="1" applyNumberFormat="1" applyFont="1" applyAlignment="1">
      <alignment horizontal="right" vertical="top"/>
    </xf>
    <xf numFmtId="14" fontId="13" fillId="0" borderId="0" xfId="0" applyNumberFormat="1" applyFont="1"/>
    <xf numFmtId="164" fontId="13" fillId="0" borderId="0" xfId="0" applyNumberFormat="1" applyFont="1" applyAlignment="1">
      <alignment horizontal="center" vertical="top"/>
    </xf>
  </cellXfs>
  <cellStyles count="2">
    <cellStyle name="Moneda" xfId="1" builtinId="4"/>
    <cellStyle name="Normal" xfId="0" builtinId="0"/>
  </cellStyles>
  <dxfs count="6">
    <dxf>
      <fill>
        <patternFill>
          <bgColor theme="5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deforspain.sharepoint.com/sites/GESTION/Documentos%20compartidos/Administracion/RRFF/RELACION%20FACTURAS.xlsx" TargetMode="External"/><Relationship Id="rId1" Type="http://schemas.openxmlformats.org/officeDocument/2006/relationships/externalLinkPath" Target="https://madeforspain.sharepoint.com/sites/GESTION/Documentos%20compartidos/Administracion/RRFF/RELACION%20FACTU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orma 2020"/>
      <sheetName val="Pospuestos 21"/>
      <sheetName val="Créditos a 31.12.2024"/>
      <sheetName val="Proforma 2021"/>
      <sheetName val="Proforma 2022"/>
      <sheetName val="Proforma 2023"/>
      <sheetName val="Proforma 2024"/>
      <sheetName val="Proforma 2025"/>
      <sheetName val="Proforma 2026"/>
      <sheetName val="Proforma 2027"/>
      <sheetName val="WPS-ONYX"/>
      <sheetName val="SION"/>
      <sheetName val="WENDY P"/>
      <sheetName val="Wire Comisiones"/>
      <sheetName val="EZUS"/>
      <sheetName val="ONYX-F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S2">
            <v>0.115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xcelcruises@aol.com" TargetMode="External"/><Relationship Id="rId13" Type="http://schemas.openxmlformats.org/officeDocument/2006/relationships/hyperlink" Target="mailto:jean.dustan@cadencetravel.com" TargetMode="External"/><Relationship Id="rId3" Type="http://schemas.openxmlformats.org/officeDocument/2006/relationships/hyperlink" Target="mailto:Wendy@YourVictoryTravel.com" TargetMode="External"/><Relationship Id="rId7" Type="http://schemas.openxmlformats.org/officeDocument/2006/relationships/hyperlink" Target="mailto:georgiafearnley@jacadatravel.com" TargetMode="External"/><Relationship Id="rId12" Type="http://schemas.openxmlformats.org/officeDocument/2006/relationships/hyperlink" Target="mailto:MGagne@traveloneinc.com" TargetMode="External"/><Relationship Id="rId2" Type="http://schemas.openxmlformats.org/officeDocument/2006/relationships/hyperlink" Target="mailto:Kristin@mccabeworld.com" TargetMode="External"/><Relationship Id="rId16" Type="http://schemas.openxmlformats.org/officeDocument/2006/relationships/comments" Target="../comments1.xml"/><Relationship Id="rId1" Type="http://schemas.openxmlformats.org/officeDocument/2006/relationships/hyperlink" Target="mailto:miriam@norwegian-adventures.com" TargetMode="External"/><Relationship Id="rId6" Type="http://schemas.openxmlformats.org/officeDocument/2006/relationships/hyperlink" Target="mailto:pberelson@dt.com" TargetMode="External"/><Relationship Id="rId11" Type="http://schemas.openxmlformats.org/officeDocument/2006/relationships/hyperlink" Target="mailto:wlangenbrunner@providenttravel.com" TargetMode="External"/><Relationship Id="rId5" Type="http://schemas.openxmlformats.org/officeDocument/2006/relationships/hyperlink" Target="mailto:mdolbow@yorbalindatravel.com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mailto:kit@preferrednaples.com" TargetMode="External"/><Relationship Id="rId4" Type="http://schemas.openxmlformats.org/officeDocument/2006/relationships/hyperlink" Target="mailto:jackie@jsrtraveldenver.com" TargetMode="External"/><Relationship Id="rId9" Type="http://schemas.openxmlformats.org/officeDocument/2006/relationships/hyperlink" Target="mailto:dtrevino@dt.com" TargetMode="External"/><Relationship Id="rId14" Type="http://schemas.openxmlformats.org/officeDocument/2006/relationships/hyperlink" Target="mailto:megsimpson@jacadatrav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0EA6-CEB8-4374-9295-49164545A99A}">
  <dimension ref="A1:AU73"/>
  <sheetViews>
    <sheetView tabSelected="1" workbookViewId="0">
      <selection activeCell="J11" sqref="J11"/>
    </sheetView>
  </sheetViews>
  <sheetFormatPr baseColWidth="10" defaultRowHeight="14.4" x14ac:dyDescent="0.3"/>
  <sheetData>
    <row r="1" spans="1:47" ht="15.6" x14ac:dyDescent="0.3">
      <c r="A1" s="1"/>
      <c r="B1" s="2" t="s">
        <v>0</v>
      </c>
      <c r="C1" s="3"/>
      <c r="D1" s="4"/>
      <c r="E1" s="4"/>
      <c r="F1" s="4"/>
      <c r="G1" s="4"/>
      <c r="H1" s="4"/>
      <c r="I1" s="5"/>
      <c r="J1" s="5"/>
      <c r="K1" s="6"/>
      <c r="L1" s="7"/>
      <c r="M1" s="8"/>
      <c r="N1" s="9"/>
      <c r="O1" s="9"/>
      <c r="P1" s="9"/>
      <c r="Q1" s="10"/>
      <c r="R1" s="10"/>
      <c r="S1" s="8" t="s">
        <v>1</v>
      </c>
      <c r="T1" s="8"/>
      <c r="U1" s="8"/>
      <c r="V1" s="5"/>
      <c r="W1" s="11"/>
      <c r="X1" s="12"/>
      <c r="Y1" s="5"/>
      <c r="Z1" s="12"/>
      <c r="AA1" s="13"/>
      <c r="AB1" s="5"/>
      <c r="AC1" s="5"/>
      <c r="AD1" s="5" t="s">
        <v>1</v>
      </c>
      <c r="AE1" s="14"/>
      <c r="AF1" s="3"/>
      <c r="AG1" s="15"/>
      <c r="AH1" s="16"/>
      <c r="AI1" s="17"/>
      <c r="AJ1" s="18"/>
      <c r="AK1" s="19"/>
      <c r="AL1" s="20"/>
      <c r="AM1" s="21"/>
      <c r="AN1" s="22"/>
      <c r="AO1" s="22"/>
      <c r="AP1" s="5"/>
      <c r="AQ1" s="16"/>
      <c r="AR1" s="16"/>
      <c r="AS1" s="16"/>
      <c r="AT1" s="16"/>
      <c r="AU1" s="23"/>
    </row>
    <row r="2" spans="1:47" ht="15.6" x14ac:dyDescent="0.3">
      <c r="A2" s="16"/>
      <c r="B2" s="24"/>
      <c r="C2" s="5" t="s">
        <v>2</v>
      </c>
      <c r="D2" s="4"/>
      <c r="E2" s="4"/>
      <c r="F2" s="4"/>
      <c r="G2" s="4"/>
      <c r="H2" s="4"/>
      <c r="I2" s="5"/>
      <c r="J2" s="5"/>
      <c r="K2" s="6"/>
      <c r="L2" s="7"/>
      <c r="M2" s="8"/>
      <c r="N2" s="9"/>
      <c r="O2" s="9"/>
      <c r="P2" s="9"/>
      <c r="Q2" s="10" t="s">
        <v>3</v>
      </c>
      <c r="R2" s="10"/>
      <c r="S2" s="8"/>
      <c r="T2" s="8"/>
      <c r="U2" s="8"/>
      <c r="V2" s="5"/>
      <c r="W2" s="11"/>
      <c r="X2" s="12" t="s">
        <v>4</v>
      </c>
      <c r="Y2" s="5"/>
      <c r="Z2" s="12"/>
      <c r="AA2" s="13"/>
      <c r="AB2" s="5"/>
      <c r="AC2" s="5"/>
      <c r="AD2" s="5"/>
      <c r="AE2" s="25">
        <v>1</v>
      </c>
      <c r="AF2" s="26">
        <v>3</v>
      </c>
      <c r="AG2" s="27"/>
      <c r="AH2" s="28">
        <v>2</v>
      </c>
      <c r="AI2" s="17"/>
      <c r="AJ2" s="29" t="s">
        <v>5</v>
      </c>
      <c r="AK2" s="30"/>
      <c r="AL2" s="31" t="s">
        <v>6</v>
      </c>
      <c r="AM2" s="32"/>
      <c r="AN2" s="29"/>
      <c r="AO2" s="29"/>
      <c r="AP2" s="33"/>
      <c r="AQ2" s="16"/>
      <c r="AR2" s="16"/>
      <c r="AS2" s="34">
        <v>0.115</v>
      </c>
      <c r="AT2" s="16"/>
      <c r="AU2" s="23"/>
    </row>
    <row r="3" spans="1:47" ht="15.6" x14ac:dyDescent="0.3">
      <c r="A3" s="5" t="s">
        <v>7</v>
      </c>
      <c r="B3" s="24" t="s">
        <v>8</v>
      </c>
      <c r="C3" s="5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5" t="s">
        <v>15</v>
      </c>
      <c r="J3" s="5" t="s">
        <v>16</v>
      </c>
      <c r="K3" s="6" t="s">
        <v>17</v>
      </c>
      <c r="L3" s="7" t="s">
        <v>18</v>
      </c>
      <c r="M3" s="8" t="s">
        <v>19</v>
      </c>
      <c r="N3" s="9" t="s">
        <v>20</v>
      </c>
      <c r="O3" s="35" t="s">
        <v>21</v>
      </c>
      <c r="P3" s="36" t="s">
        <v>22</v>
      </c>
      <c r="Q3" s="37" t="s">
        <v>23</v>
      </c>
      <c r="R3" s="37" t="s">
        <v>24</v>
      </c>
      <c r="S3" s="38" t="s">
        <v>25</v>
      </c>
      <c r="T3" s="38" t="s">
        <v>26</v>
      </c>
      <c r="U3" s="38" t="s">
        <v>27</v>
      </c>
      <c r="V3" s="5" t="s">
        <v>28</v>
      </c>
      <c r="W3" s="11" t="s">
        <v>29</v>
      </c>
      <c r="X3" s="12" t="s">
        <v>30</v>
      </c>
      <c r="Y3" s="5" t="s">
        <v>31</v>
      </c>
      <c r="Z3" s="5" t="s">
        <v>32</v>
      </c>
      <c r="AA3" s="13" t="s">
        <v>33</v>
      </c>
      <c r="AB3" s="5" t="s">
        <v>34</v>
      </c>
      <c r="AC3" s="5" t="s">
        <v>35</v>
      </c>
      <c r="AD3" s="5" t="s">
        <v>36</v>
      </c>
      <c r="AE3" s="39" t="s">
        <v>37</v>
      </c>
      <c r="AF3" s="1" t="s">
        <v>38</v>
      </c>
      <c r="AG3" s="40" t="s">
        <v>39</v>
      </c>
      <c r="AH3" s="5" t="s">
        <v>40</v>
      </c>
      <c r="AI3" s="41" t="s">
        <v>41</v>
      </c>
      <c r="AJ3" s="42" t="s">
        <v>42</v>
      </c>
      <c r="AK3" s="30" t="s">
        <v>43</v>
      </c>
      <c r="AL3" s="42" t="s">
        <v>44</v>
      </c>
      <c r="AM3" s="43" t="s">
        <v>18</v>
      </c>
      <c r="AN3" s="29" t="s">
        <v>43</v>
      </c>
      <c r="AO3" s="29" t="s">
        <v>45</v>
      </c>
      <c r="AP3" s="44"/>
      <c r="AQ3" s="45" t="s">
        <v>46</v>
      </c>
      <c r="AR3" s="45" t="s">
        <v>47</v>
      </c>
      <c r="AS3" s="45" t="s">
        <v>48</v>
      </c>
      <c r="AT3" s="46" t="s">
        <v>49</v>
      </c>
      <c r="AU3" s="47" t="s">
        <v>18</v>
      </c>
    </row>
    <row r="4" spans="1:47" ht="15.6" x14ac:dyDescent="0.3">
      <c r="A4" s="16" t="s">
        <v>50</v>
      </c>
      <c r="B4" s="48" t="s">
        <v>51</v>
      </c>
      <c r="C4" s="5"/>
      <c r="D4" s="4" t="s">
        <v>52</v>
      </c>
      <c r="E4" s="4"/>
      <c r="F4" s="4"/>
      <c r="G4" s="4"/>
      <c r="H4" s="4"/>
      <c r="I4" s="12" t="s">
        <v>53</v>
      </c>
      <c r="J4" s="12" t="s">
        <v>54</v>
      </c>
      <c r="K4" s="6"/>
      <c r="L4" s="7">
        <v>45623</v>
      </c>
      <c r="M4" s="8" t="s">
        <v>55</v>
      </c>
      <c r="N4" s="9">
        <v>2</v>
      </c>
      <c r="O4" s="49">
        <f t="shared" ref="O4:O67" si="0">+Q4-47</f>
        <v>46194</v>
      </c>
      <c r="P4" s="50">
        <f t="shared" ref="P4:P67" si="1">+Q4-40</f>
        <v>46201</v>
      </c>
      <c r="Q4" s="10">
        <v>46241</v>
      </c>
      <c r="R4" s="10">
        <v>46249</v>
      </c>
      <c r="S4" s="8" t="s">
        <v>56</v>
      </c>
      <c r="T4" s="8"/>
      <c r="U4" s="8" t="s">
        <v>57</v>
      </c>
      <c r="V4" s="51" t="s">
        <v>58</v>
      </c>
      <c r="W4" s="11" t="s">
        <v>59</v>
      </c>
      <c r="X4" s="12" t="s">
        <v>60</v>
      </c>
      <c r="Y4" s="8" t="s">
        <v>61</v>
      </c>
      <c r="Z4" s="12" t="s">
        <v>62</v>
      </c>
      <c r="AA4" s="13" t="s">
        <v>63</v>
      </c>
      <c r="AB4" s="52" t="s">
        <v>64</v>
      </c>
      <c r="AC4" s="53"/>
      <c r="AD4" s="52" t="s">
        <v>65</v>
      </c>
      <c r="AE4" s="54">
        <v>15728</v>
      </c>
      <c r="AF4" s="55">
        <v>1885</v>
      </c>
      <c r="AG4" s="56">
        <f t="shared" ref="AG4:AG67" si="2">+AE4-AF4</f>
        <v>13843</v>
      </c>
      <c r="AH4" s="57">
        <v>12698.87</v>
      </c>
      <c r="AI4" s="58">
        <f t="shared" ref="AI4:AI67" si="3">+(AE4-AH4)/1.21</f>
        <v>2503.4132231404951</v>
      </c>
      <c r="AJ4" s="57">
        <f>2338.5+2338.5</f>
        <v>4677</v>
      </c>
      <c r="AK4" s="30">
        <v>45625</v>
      </c>
      <c r="AL4" s="57">
        <f t="shared" ref="AL4:AL67" si="4">+AE4-AJ4</f>
        <v>11051</v>
      </c>
      <c r="AM4" s="23">
        <v>46196</v>
      </c>
      <c r="AN4" s="5" t="s">
        <v>66</v>
      </c>
      <c r="AO4" s="5" t="s">
        <v>67</v>
      </c>
      <c r="AP4" s="33" t="s">
        <v>68</v>
      </c>
      <c r="AQ4" s="59">
        <f t="shared" ref="AQ4:AQ67" si="5">+AE4</f>
        <v>15728</v>
      </c>
      <c r="AR4" s="60">
        <f>+AQ4</f>
        <v>15728</v>
      </c>
      <c r="AS4" s="59">
        <f>+AI4*(1+'[1]Proforma 2026'!$AS$2)</f>
        <v>2791.3057438016522</v>
      </c>
      <c r="AT4" s="60">
        <f>+AS4</f>
        <v>2791.3057438016522</v>
      </c>
      <c r="AU4" s="61">
        <f t="shared" ref="AU4:AU67" si="6">+L4</f>
        <v>45623</v>
      </c>
    </row>
    <row r="5" spans="1:47" ht="15.6" x14ac:dyDescent="0.3">
      <c r="A5" s="16" t="s">
        <v>69</v>
      </c>
      <c r="B5" s="48">
        <v>36087</v>
      </c>
      <c r="D5" s="4" t="s">
        <v>52</v>
      </c>
      <c r="E5" s="4"/>
      <c r="F5" s="4"/>
      <c r="G5" s="4"/>
      <c r="H5" s="4"/>
      <c r="I5" s="12" t="s">
        <v>70</v>
      </c>
      <c r="J5" s="12" t="s">
        <v>71</v>
      </c>
      <c r="K5" s="6"/>
      <c r="L5" s="7">
        <v>45712</v>
      </c>
      <c r="M5" s="8" t="s">
        <v>72</v>
      </c>
      <c r="N5" s="9">
        <v>5</v>
      </c>
      <c r="O5" s="49">
        <f t="shared" si="0"/>
        <v>45969</v>
      </c>
      <c r="P5" s="50">
        <f t="shared" si="1"/>
        <v>45976</v>
      </c>
      <c r="Q5" s="10">
        <v>46016</v>
      </c>
      <c r="R5" s="10">
        <v>46025</v>
      </c>
      <c r="S5" s="8" t="s">
        <v>73</v>
      </c>
      <c r="T5" s="8"/>
      <c r="U5" s="8"/>
      <c r="V5" s="51" t="s">
        <v>74</v>
      </c>
      <c r="W5" s="11" t="s">
        <v>75</v>
      </c>
      <c r="X5" s="12"/>
      <c r="Y5" s="8"/>
      <c r="Z5" s="12"/>
      <c r="AA5" s="13"/>
      <c r="AB5" s="52"/>
      <c r="AD5" s="52" t="s">
        <v>76</v>
      </c>
      <c r="AE5" s="54">
        <v>23165</v>
      </c>
      <c r="AF5" s="62">
        <v>0</v>
      </c>
      <c r="AG5" s="56">
        <f t="shared" si="2"/>
        <v>23165</v>
      </c>
      <c r="AH5" s="57">
        <v>17223.73</v>
      </c>
      <c r="AI5" s="58">
        <f t="shared" si="3"/>
        <v>4910.1404958677695</v>
      </c>
      <c r="AJ5" s="57">
        <v>6949.5</v>
      </c>
      <c r="AK5" s="63">
        <v>45713</v>
      </c>
      <c r="AL5" s="64">
        <f t="shared" si="4"/>
        <v>16215.5</v>
      </c>
      <c r="AM5" s="23">
        <v>45979</v>
      </c>
      <c r="AN5" s="5" t="s">
        <v>66</v>
      </c>
      <c r="AO5" s="29" t="s">
        <v>77</v>
      </c>
      <c r="AP5" s="44" t="s">
        <v>78</v>
      </c>
      <c r="AQ5" s="59">
        <f t="shared" si="5"/>
        <v>23165</v>
      </c>
      <c r="AR5" s="60">
        <f t="shared" ref="AR5:AR68" si="7">+AQ5+AR4</f>
        <v>38893</v>
      </c>
      <c r="AS5" s="59">
        <f>+AI5*(1+'[1]Proforma 2026'!$AS$2)</f>
        <v>5474.8066528925629</v>
      </c>
      <c r="AT5" s="60">
        <f t="shared" ref="AT5:AT68" si="8">+AS5+AT4</f>
        <v>8266.1123966942141</v>
      </c>
      <c r="AU5" s="61">
        <f t="shared" si="6"/>
        <v>45712</v>
      </c>
    </row>
    <row r="6" spans="1:47" ht="15.6" x14ac:dyDescent="0.3">
      <c r="A6" s="16" t="s">
        <v>79</v>
      </c>
      <c r="B6" s="48" t="s">
        <v>80</v>
      </c>
      <c r="D6" s="4" t="s">
        <v>52</v>
      </c>
      <c r="E6" s="4"/>
      <c r="F6" s="4"/>
      <c r="G6" s="4"/>
      <c r="H6" s="4"/>
      <c r="I6" s="12" t="s">
        <v>81</v>
      </c>
      <c r="J6" s="12" t="s">
        <v>82</v>
      </c>
      <c r="K6" s="6"/>
      <c r="L6" s="7">
        <v>45770</v>
      </c>
      <c r="M6" s="8" t="s">
        <v>83</v>
      </c>
      <c r="N6" s="9">
        <v>6</v>
      </c>
      <c r="O6" s="49">
        <f t="shared" si="0"/>
        <v>46083</v>
      </c>
      <c r="P6" s="50">
        <f t="shared" si="1"/>
        <v>46090</v>
      </c>
      <c r="Q6" s="10">
        <v>46130</v>
      </c>
      <c r="R6" s="10">
        <v>46144</v>
      </c>
      <c r="S6" s="8" t="s">
        <v>84</v>
      </c>
      <c r="T6" s="8" t="s">
        <v>85</v>
      </c>
      <c r="U6" s="8" t="s">
        <v>86</v>
      </c>
      <c r="V6" s="51" t="s">
        <v>87</v>
      </c>
      <c r="W6" s="11">
        <v>24890434</v>
      </c>
      <c r="X6" s="12" t="s">
        <v>88</v>
      </c>
      <c r="Y6" s="8" t="s">
        <v>89</v>
      </c>
      <c r="Z6" s="12" t="s">
        <v>90</v>
      </c>
      <c r="AA6" s="13">
        <v>55425</v>
      </c>
      <c r="AB6" s="52" t="s">
        <v>64</v>
      </c>
      <c r="AD6" s="52" t="s">
        <v>65</v>
      </c>
      <c r="AE6" s="54">
        <v>57747</v>
      </c>
      <c r="AF6" s="62">
        <v>8662</v>
      </c>
      <c r="AG6" s="56">
        <f t="shared" si="2"/>
        <v>49085</v>
      </c>
      <c r="AH6" s="57">
        <v>49011</v>
      </c>
      <c r="AI6" s="58">
        <f t="shared" si="3"/>
        <v>7219.8347107438021</v>
      </c>
      <c r="AJ6" s="57">
        <f>2909.55+2909.55+5819.1+5421.3+13827.7+6714.95+13429.9</f>
        <v>51032.05</v>
      </c>
      <c r="AK6" s="63">
        <v>46091</v>
      </c>
      <c r="AL6" s="57">
        <f t="shared" si="4"/>
        <v>6714.9499999999971</v>
      </c>
      <c r="AM6" s="23">
        <v>46091</v>
      </c>
      <c r="AN6" s="5" t="s">
        <v>66</v>
      </c>
      <c r="AO6" s="5" t="s">
        <v>91</v>
      </c>
      <c r="AP6" s="44" t="s">
        <v>92</v>
      </c>
      <c r="AQ6" s="59">
        <f t="shared" si="5"/>
        <v>57747</v>
      </c>
      <c r="AR6" s="55">
        <f t="shared" si="7"/>
        <v>96640</v>
      </c>
      <c r="AS6" s="59">
        <f>+AI6*(1+'[1]Proforma 2026'!$AS$2)</f>
        <v>8050.1157024793392</v>
      </c>
      <c r="AT6" s="60">
        <f t="shared" si="8"/>
        <v>16316.228099173553</v>
      </c>
      <c r="AU6" s="61">
        <f t="shared" si="6"/>
        <v>45770</v>
      </c>
    </row>
    <row r="7" spans="1:47" ht="15.6" x14ac:dyDescent="0.3">
      <c r="A7" s="16" t="s">
        <v>93</v>
      </c>
      <c r="B7" s="48">
        <v>36009</v>
      </c>
      <c r="C7" s="4"/>
      <c r="D7" s="4" t="s">
        <v>52</v>
      </c>
      <c r="E7" s="4"/>
      <c r="F7" s="4"/>
      <c r="G7" s="4"/>
      <c r="H7" s="4"/>
      <c r="I7" s="12" t="s">
        <v>94</v>
      </c>
      <c r="J7" s="12" t="s">
        <v>95</v>
      </c>
      <c r="K7" s="6"/>
      <c r="L7" s="7">
        <v>45789</v>
      </c>
      <c r="M7" s="8" t="s">
        <v>96</v>
      </c>
      <c r="N7" s="9">
        <v>5</v>
      </c>
      <c r="O7" s="49">
        <f t="shared" si="0"/>
        <v>46054</v>
      </c>
      <c r="P7" s="50">
        <f t="shared" si="1"/>
        <v>46061</v>
      </c>
      <c r="Q7" s="10">
        <v>46101</v>
      </c>
      <c r="R7" s="10">
        <v>46104</v>
      </c>
      <c r="S7" s="8" t="s">
        <v>97</v>
      </c>
      <c r="T7" s="8" t="s">
        <v>98</v>
      </c>
      <c r="U7" s="8" t="s">
        <v>99</v>
      </c>
      <c r="V7" s="51" t="s">
        <v>100</v>
      </c>
      <c r="W7" s="11" t="s">
        <v>101</v>
      </c>
      <c r="X7" s="12" t="s">
        <v>102</v>
      </c>
      <c r="Y7" s="8" t="s">
        <v>103</v>
      </c>
      <c r="Z7" s="12" t="s">
        <v>104</v>
      </c>
      <c r="AA7" s="13">
        <v>60025</v>
      </c>
      <c r="AB7" s="52" t="s">
        <v>64</v>
      </c>
      <c r="AD7" s="52" t="s">
        <v>65</v>
      </c>
      <c r="AE7" s="54">
        <v>18570.11</v>
      </c>
      <c r="AF7" s="62">
        <v>2802</v>
      </c>
      <c r="AG7" s="56">
        <f t="shared" si="2"/>
        <v>15768.11</v>
      </c>
      <c r="AH7" s="57">
        <v>14876.15</v>
      </c>
      <c r="AI7" s="58">
        <f t="shared" si="3"/>
        <v>3052.8595041322324</v>
      </c>
      <c r="AJ7" s="57">
        <f>4710.6+12580.4+127+1355</f>
        <v>18773</v>
      </c>
      <c r="AK7" s="63">
        <v>46111</v>
      </c>
      <c r="AL7" s="57">
        <f t="shared" si="4"/>
        <v>-202.88999999999942</v>
      </c>
      <c r="AM7" s="23">
        <v>46121</v>
      </c>
      <c r="AN7" s="5" t="s">
        <v>66</v>
      </c>
      <c r="AO7" s="5" t="s">
        <v>91</v>
      </c>
      <c r="AP7" s="44" t="s">
        <v>105</v>
      </c>
      <c r="AQ7" s="59">
        <f t="shared" si="5"/>
        <v>18570.11</v>
      </c>
      <c r="AR7" s="60">
        <f t="shared" si="7"/>
        <v>115210.11</v>
      </c>
      <c r="AS7" s="59">
        <f>+AI7*(1+'[1]Proforma 2026'!$AS$2)</f>
        <v>3403.9383471074389</v>
      </c>
      <c r="AT7" s="60">
        <f t="shared" si="8"/>
        <v>19720.166446280993</v>
      </c>
      <c r="AU7" s="61">
        <f t="shared" si="6"/>
        <v>45789</v>
      </c>
    </row>
    <row r="8" spans="1:47" ht="15.6" x14ac:dyDescent="0.3">
      <c r="A8" s="16" t="s">
        <v>106</v>
      </c>
      <c r="B8" s="48" t="s">
        <v>107</v>
      </c>
      <c r="C8" s="4"/>
      <c r="D8" s="4" t="s">
        <v>52</v>
      </c>
      <c r="E8" s="4"/>
      <c r="F8" s="4"/>
      <c r="G8" s="4"/>
      <c r="H8" s="4"/>
      <c r="I8" s="12" t="s">
        <v>108</v>
      </c>
      <c r="J8" s="12" t="s">
        <v>109</v>
      </c>
      <c r="K8" s="6"/>
      <c r="L8" s="7">
        <v>45789</v>
      </c>
      <c r="M8" s="8" t="s">
        <v>110</v>
      </c>
      <c r="N8" s="9">
        <v>4</v>
      </c>
      <c r="O8" s="49">
        <f t="shared" si="0"/>
        <v>45972</v>
      </c>
      <c r="P8" s="50">
        <f t="shared" si="1"/>
        <v>45979</v>
      </c>
      <c r="Q8" s="10">
        <v>46019</v>
      </c>
      <c r="R8" s="10">
        <v>46025</v>
      </c>
      <c r="S8" s="8" t="s">
        <v>111</v>
      </c>
      <c r="T8" s="8"/>
      <c r="U8" s="8" t="s">
        <v>112</v>
      </c>
      <c r="V8" s="51" t="s">
        <v>113</v>
      </c>
      <c r="W8" s="11" t="s">
        <v>114</v>
      </c>
      <c r="X8" s="12" t="s">
        <v>115</v>
      </c>
      <c r="Y8" s="52" t="s">
        <v>116</v>
      </c>
      <c r="Z8" s="12"/>
      <c r="AA8" s="13" t="s">
        <v>117</v>
      </c>
      <c r="AB8" s="52" t="s">
        <v>118</v>
      </c>
      <c r="AD8" s="52" t="s">
        <v>119</v>
      </c>
      <c r="AE8" s="54">
        <v>18728</v>
      </c>
      <c r="AF8" s="62">
        <v>0</v>
      </c>
      <c r="AG8" s="56">
        <f t="shared" si="2"/>
        <v>18728</v>
      </c>
      <c r="AH8" s="57">
        <v>13434.07</v>
      </c>
      <c r="AI8" s="58">
        <f t="shared" si="3"/>
        <v>4375.1487603305786</v>
      </c>
      <c r="AJ8" s="57">
        <f>5493.4+12784.6</f>
        <v>18278</v>
      </c>
      <c r="AK8" s="30">
        <v>45980</v>
      </c>
      <c r="AL8" s="57">
        <f t="shared" si="4"/>
        <v>450</v>
      </c>
      <c r="AM8" s="23">
        <v>46001</v>
      </c>
      <c r="AN8" s="5" t="s">
        <v>66</v>
      </c>
      <c r="AO8" s="5" t="s">
        <v>120</v>
      </c>
      <c r="AQ8" s="59">
        <f t="shared" si="5"/>
        <v>18728</v>
      </c>
      <c r="AR8" s="60">
        <f t="shared" si="7"/>
        <v>133938.10999999999</v>
      </c>
      <c r="AS8" s="59">
        <f>+AI8*(1+'[1]Proforma 2026'!$AS$2)</f>
        <v>4878.2908677685955</v>
      </c>
      <c r="AT8" s="60">
        <f t="shared" si="8"/>
        <v>24598.457314049589</v>
      </c>
      <c r="AU8" s="61">
        <f t="shared" si="6"/>
        <v>45789</v>
      </c>
    </row>
    <row r="9" spans="1:47" ht="15.6" x14ac:dyDescent="0.3">
      <c r="A9" s="16" t="s">
        <v>121</v>
      </c>
      <c r="B9" s="48" t="s">
        <v>122</v>
      </c>
      <c r="C9" s="4"/>
      <c r="D9" s="4"/>
      <c r="E9" s="4" t="s">
        <v>52</v>
      </c>
      <c r="F9" s="4"/>
      <c r="G9" s="4"/>
      <c r="H9" s="4"/>
      <c r="I9" s="12" t="s">
        <v>123</v>
      </c>
      <c r="J9" s="12" t="s">
        <v>124</v>
      </c>
      <c r="K9" s="6"/>
      <c r="L9" s="7">
        <v>45796</v>
      </c>
      <c r="M9" s="8" t="s">
        <v>125</v>
      </c>
      <c r="N9" s="9">
        <v>6</v>
      </c>
      <c r="O9" s="49">
        <f t="shared" si="0"/>
        <v>45969</v>
      </c>
      <c r="P9" s="50">
        <f t="shared" si="1"/>
        <v>45976</v>
      </c>
      <c r="Q9" s="10">
        <v>46016</v>
      </c>
      <c r="R9" s="10">
        <v>46029</v>
      </c>
      <c r="S9" s="8" t="s">
        <v>126</v>
      </c>
      <c r="T9" s="8" t="s">
        <v>127</v>
      </c>
      <c r="U9" s="8" t="s">
        <v>128</v>
      </c>
      <c r="V9" s="51" t="s">
        <v>129</v>
      </c>
      <c r="W9" s="11">
        <v>14881263</v>
      </c>
      <c r="X9" s="12" t="s">
        <v>130</v>
      </c>
      <c r="Y9" s="8" t="s">
        <v>131</v>
      </c>
      <c r="Z9" s="12" t="s">
        <v>104</v>
      </c>
      <c r="AA9" s="13">
        <v>60423</v>
      </c>
      <c r="AB9" s="12" t="s">
        <v>64</v>
      </c>
      <c r="AD9" s="12" t="s">
        <v>132</v>
      </c>
      <c r="AE9" s="54">
        <v>11674</v>
      </c>
      <c r="AF9" s="62">
        <v>1518</v>
      </c>
      <c r="AG9" s="56">
        <f t="shared" si="2"/>
        <v>10156</v>
      </c>
      <c r="AH9" s="57">
        <v>8255.17</v>
      </c>
      <c r="AI9" s="58">
        <f t="shared" si="3"/>
        <v>2825.4793388429753</v>
      </c>
      <c r="AJ9" s="57">
        <v>3462.9</v>
      </c>
      <c r="AK9" s="30">
        <v>45798</v>
      </c>
      <c r="AL9" s="64">
        <f t="shared" si="4"/>
        <v>8211.1</v>
      </c>
      <c r="AM9" s="23">
        <v>45978</v>
      </c>
      <c r="AN9" s="5" t="s">
        <v>66</v>
      </c>
      <c r="AO9" s="29" t="s">
        <v>77</v>
      </c>
      <c r="AP9" s="44" t="s">
        <v>133</v>
      </c>
      <c r="AQ9" s="59">
        <f t="shared" si="5"/>
        <v>11674</v>
      </c>
      <c r="AR9" s="55">
        <f t="shared" si="7"/>
        <v>145612.10999999999</v>
      </c>
      <c r="AS9" s="59">
        <f>+AI9*(1+'[1]Proforma 2026'!$AS$2)</f>
        <v>3150.4094628099174</v>
      </c>
      <c r="AT9" s="60">
        <f t="shared" si="8"/>
        <v>27748.866776859504</v>
      </c>
      <c r="AU9" s="61">
        <f t="shared" si="6"/>
        <v>45796</v>
      </c>
    </row>
    <row r="10" spans="1:47" ht="15.6" x14ac:dyDescent="0.3">
      <c r="A10" s="16" t="s">
        <v>134</v>
      </c>
      <c r="B10" s="48" t="s">
        <v>135</v>
      </c>
      <c r="C10" s="4"/>
      <c r="D10" s="4" t="s">
        <v>52</v>
      </c>
      <c r="E10" s="4"/>
      <c r="F10" s="4"/>
      <c r="G10" s="4"/>
      <c r="H10" s="4"/>
      <c r="I10" s="12" t="s">
        <v>70</v>
      </c>
      <c r="J10" s="12" t="s">
        <v>136</v>
      </c>
      <c r="K10" s="6"/>
      <c r="L10" s="7">
        <v>45803</v>
      </c>
      <c r="M10" s="8" t="s">
        <v>137</v>
      </c>
      <c r="N10" s="9">
        <v>2</v>
      </c>
      <c r="O10" s="49">
        <f t="shared" si="0"/>
        <v>46073</v>
      </c>
      <c r="P10" s="50">
        <f t="shared" si="1"/>
        <v>46080</v>
      </c>
      <c r="Q10" s="10">
        <v>46120</v>
      </c>
      <c r="R10" s="10">
        <v>46129</v>
      </c>
      <c r="S10" s="8" t="s">
        <v>138</v>
      </c>
      <c r="T10" s="8"/>
      <c r="U10" s="8" t="s">
        <v>139</v>
      </c>
      <c r="V10" s="51" t="s">
        <v>140</v>
      </c>
      <c r="W10" s="11" t="s">
        <v>141</v>
      </c>
      <c r="X10" s="12" t="s">
        <v>142</v>
      </c>
      <c r="Y10" s="52" t="s">
        <v>143</v>
      </c>
      <c r="Z10" s="12" t="s">
        <v>144</v>
      </c>
      <c r="AA10" s="13">
        <v>10013</v>
      </c>
      <c r="AB10" s="52" t="s">
        <v>64</v>
      </c>
      <c r="AD10" s="52" t="s">
        <v>65</v>
      </c>
      <c r="AE10" s="54">
        <v>19032.2</v>
      </c>
      <c r="AF10" s="62">
        <v>1903</v>
      </c>
      <c r="AG10" s="56">
        <f t="shared" si="2"/>
        <v>17129.2</v>
      </c>
      <c r="AH10" s="57">
        <v>13865.51</v>
      </c>
      <c r="AI10" s="58">
        <f t="shared" si="3"/>
        <v>4269.9917355371908</v>
      </c>
      <c r="AJ10" s="57">
        <f>2855.1+2855.1+6661</f>
        <v>12371.2</v>
      </c>
      <c r="AK10" s="30">
        <v>46087</v>
      </c>
      <c r="AL10" s="57">
        <f t="shared" si="4"/>
        <v>6661</v>
      </c>
      <c r="AM10" s="23">
        <v>46087</v>
      </c>
      <c r="AN10" s="5" t="s">
        <v>66</v>
      </c>
      <c r="AO10" s="5" t="s">
        <v>91</v>
      </c>
      <c r="AP10" s="44" t="s">
        <v>145</v>
      </c>
      <c r="AQ10" s="59">
        <f t="shared" si="5"/>
        <v>19032.2</v>
      </c>
      <c r="AR10" s="60">
        <f t="shared" si="7"/>
        <v>164644.31</v>
      </c>
      <c r="AS10" s="59">
        <f>+AI10*(1+'[1]Proforma 2026'!$AS$2)</f>
        <v>4761.0407851239679</v>
      </c>
      <c r="AT10" s="60">
        <f t="shared" si="8"/>
        <v>32509.907561983473</v>
      </c>
      <c r="AU10" s="61">
        <f t="shared" si="6"/>
        <v>45803</v>
      </c>
    </row>
    <row r="11" spans="1:47" ht="15.6" x14ac:dyDescent="0.3">
      <c r="A11" s="16" t="s">
        <v>146</v>
      </c>
      <c r="B11" s="48" t="s">
        <v>147</v>
      </c>
      <c r="C11" s="4"/>
      <c r="D11" s="4" t="s">
        <v>52</v>
      </c>
      <c r="E11" s="4"/>
      <c r="F11" s="4"/>
      <c r="G11" s="4"/>
      <c r="H11" s="4"/>
      <c r="I11" s="12" t="s">
        <v>148</v>
      </c>
      <c r="J11" s="12" t="s">
        <v>109</v>
      </c>
      <c r="K11" s="6"/>
      <c r="L11" s="7">
        <v>45803</v>
      </c>
      <c r="M11" s="8" t="s">
        <v>149</v>
      </c>
      <c r="N11" s="9">
        <v>2</v>
      </c>
      <c r="O11" s="49">
        <f t="shared" si="0"/>
        <v>46148</v>
      </c>
      <c r="P11" s="50">
        <f t="shared" si="1"/>
        <v>46155</v>
      </c>
      <c r="Q11" s="10">
        <v>46195</v>
      </c>
      <c r="R11" s="10">
        <v>46214</v>
      </c>
      <c r="S11" s="8" t="s">
        <v>150</v>
      </c>
      <c r="T11" s="8" t="s">
        <v>151</v>
      </c>
      <c r="U11" s="8" t="s">
        <v>152</v>
      </c>
      <c r="V11" s="51" t="s">
        <v>153</v>
      </c>
      <c r="W11" s="11">
        <v>49646332</v>
      </c>
      <c r="X11" s="12" t="s">
        <v>154</v>
      </c>
      <c r="Y11" s="52" t="s">
        <v>155</v>
      </c>
      <c r="Z11" s="12" t="s">
        <v>156</v>
      </c>
      <c r="AA11" s="13" t="s">
        <v>157</v>
      </c>
      <c r="AB11" s="52" t="s">
        <v>64</v>
      </c>
      <c r="AD11" s="52" t="s">
        <v>65</v>
      </c>
      <c r="AE11" s="54">
        <v>93843</v>
      </c>
      <c r="AF11" s="55">
        <v>13978</v>
      </c>
      <c r="AG11" s="56">
        <f t="shared" si="2"/>
        <v>79865</v>
      </c>
      <c r="AH11" s="57">
        <v>78006.16</v>
      </c>
      <c r="AI11" s="58">
        <f t="shared" si="3"/>
        <v>13088.297520661155</v>
      </c>
      <c r="AJ11" s="57">
        <f>26575.5+66076.5+306</f>
        <v>92958</v>
      </c>
      <c r="AK11" s="30">
        <v>46160</v>
      </c>
      <c r="AL11" s="65">
        <f t="shared" si="4"/>
        <v>885</v>
      </c>
      <c r="AM11" s="66">
        <v>46216</v>
      </c>
      <c r="AN11" s="67" t="s">
        <v>158</v>
      </c>
      <c r="AO11" s="67" t="s">
        <v>159</v>
      </c>
      <c r="AP11" s="33" t="s">
        <v>160</v>
      </c>
      <c r="AQ11" s="59">
        <f t="shared" si="5"/>
        <v>93843</v>
      </c>
      <c r="AR11" s="60">
        <f t="shared" si="7"/>
        <v>258487.31</v>
      </c>
      <c r="AS11" s="59">
        <f>+AI11*(1+'[1]Proforma 2026'!$AS$2)</f>
        <v>14593.451735537188</v>
      </c>
      <c r="AT11" s="60">
        <f t="shared" si="8"/>
        <v>47103.359297520663</v>
      </c>
      <c r="AU11" s="61">
        <f t="shared" si="6"/>
        <v>45803</v>
      </c>
    </row>
    <row r="12" spans="1:47" ht="15.6" x14ac:dyDescent="0.3">
      <c r="A12" s="16" t="s">
        <v>161</v>
      </c>
      <c r="B12" s="48" t="s">
        <v>162</v>
      </c>
      <c r="C12" s="4"/>
      <c r="D12" s="4" t="s">
        <v>52</v>
      </c>
      <c r="E12" s="4"/>
      <c r="F12" s="4"/>
      <c r="G12" s="4"/>
      <c r="H12" s="4"/>
      <c r="I12" s="12" t="s">
        <v>163</v>
      </c>
      <c r="J12" s="12" t="s">
        <v>163</v>
      </c>
      <c r="K12" s="6"/>
      <c r="L12" s="7">
        <v>45814</v>
      </c>
      <c r="M12" s="8" t="s">
        <v>164</v>
      </c>
      <c r="N12" s="9">
        <v>4</v>
      </c>
      <c r="O12" s="49">
        <f t="shared" si="0"/>
        <v>46080</v>
      </c>
      <c r="P12" s="50">
        <f t="shared" si="1"/>
        <v>46087</v>
      </c>
      <c r="Q12" s="10">
        <v>46127</v>
      </c>
      <c r="R12" s="10">
        <v>46129</v>
      </c>
      <c r="S12" s="8" t="s">
        <v>165</v>
      </c>
      <c r="T12" s="8"/>
      <c r="U12" s="8" t="s">
        <v>166</v>
      </c>
      <c r="V12" s="51" t="s">
        <v>167</v>
      </c>
      <c r="W12" s="11" t="s">
        <v>168</v>
      </c>
      <c r="X12" s="12" t="s">
        <v>169</v>
      </c>
      <c r="Y12" s="8" t="s">
        <v>155</v>
      </c>
      <c r="Z12" s="12" t="s">
        <v>156</v>
      </c>
      <c r="AA12" s="13" t="s">
        <v>157</v>
      </c>
      <c r="AB12" s="52" t="s">
        <v>64</v>
      </c>
      <c r="AD12" s="52" t="s">
        <v>65</v>
      </c>
      <c r="AE12" s="54">
        <v>6875</v>
      </c>
      <c r="AF12" s="62">
        <v>1254</v>
      </c>
      <c r="AG12" s="56">
        <f t="shared" si="2"/>
        <v>5621</v>
      </c>
      <c r="AH12" s="57">
        <v>5536.6</v>
      </c>
      <c r="AI12" s="58">
        <f t="shared" si="3"/>
        <v>1106.1157024793386</v>
      </c>
      <c r="AJ12" s="57">
        <f>961.65+1100.85+2243.85</f>
        <v>4306.3500000000004</v>
      </c>
      <c r="AK12" s="63">
        <v>46090</v>
      </c>
      <c r="AL12" s="57">
        <f t="shared" si="4"/>
        <v>2568.6499999999996</v>
      </c>
      <c r="AM12" s="23">
        <v>46090</v>
      </c>
      <c r="AN12" s="5" t="s">
        <v>66</v>
      </c>
      <c r="AO12" s="5" t="s">
        <v>91</v>
      </c>
      <c r="AQ12" s="59">
        <f t="shared" si="5"/>
        <v>6875</v>
      </c>
      <c r="AR12" s="55">
        <f t="shared" si="7"/>
        <v>265362.31</v>
      </c>
      <c r="AS12" s="59">
        <f>+AI12*(1+'[1]Proforma 2026'!$AS$2)</f>
        <v>1233.3190082644626</v>
      </c>
      <c r="AT12" s="60">
        <f t="shared" si="8"/>
        <v>48336.678305785128</v>
      </c>
      <c r="AU12" s="61">
        <f t="shared" si="6"/>
        <v>45814</v>
      </c>
    </row>
    <row r="13" spans="1:47" ht="15.6" x14ac:dyDescent="0.3">
      <c r="A13" s="16" t="s">
        <v>170</v>
      </c>
      <c r="B13" s="48" t="s">
        <v>171</v>
      </c>
      <c r="D13" s="4" t="s">
        <v>52</v>
      </c>
      <c r="E13" s="4"/>
      <c r="F13" s="4"/>
      <c r="G13" s="4"/>
      <c r="H13" s="4"/>
      <c r="I13" s="12" t="s">
        <v>94</v>
      </c>
      <c r="J13" s="12" t="s">
        <v>82</v>
      </c>
      <c r="L13" s="7">
        <v>45835</v>
      </c>
      <c r="M13" s="8" t="s">
        <v>172</v>
      </c>
      <c r="N13" s="9">
        <v>2</v>
      </c>
      <c r="O13" s="49">
        <f t="shared" si="0"/>
        <v>46098</v>
      </c>
      <c r="P13" s="50">
        <f t="shared" si="1"/>
        <v>46105</v>
      </c>
      <c r="Q13" s="10">
        <v>46145</v>
      </c>
      <c r="R13" s="10">
        <v>46150</v>
      </c>
      <c r="S13" s="8" t="s">
        <v>173</v>
      </c>
      <c r="T13" s="8" t="s">
        <v>174</v>
      </c>
      <c r="U13" s="8" t="s">
        <v>175</v>
      </c>
      <c r="V13" s="51" t="s">
        <v>176</v>
      </c>
      <c r="W13" s="11" t="s">
        <v>177</v>
      </c>
      <c r="X13" s="12" t="s">
        <v>178</v>
      </c>
      <c r="Y13" s="8" t="s">
        <v>179</v>
      </c>
      <c r="Z13" s="12" t="s">
        <v>180</v>
      </c>
      <c r="AA13" s="13">
        <v>71106</v>
      </c>
      <c r="AB13" s="52" t="s">
        <v>64</v>
      </c>
      <c r="AD13" s="52" t="s">
        <v>65</v>
      </c>
      <c r="AE13" s="54">
        <v>6484</v>
      </c>
      <c r="AF13" s="62">
        <v>600</v>
      </c>
      <c r="AG13" s="56">
        <f t="shared" si="2"/>
        <v>5884</v>
      </c>
      <c r="AH13" s="57">
        <v>4770.5</v>
      </c>
      <c r="AI13" s="58">
        <f t="shared" si="3"/>
        <v>1416.1157024793388</v>
      </c>
      <c r="AJ13" s="57">
        <v>1945.2</v>
      </c>
      <c r="AK13" s="63">
        <v>45838</v>
      </c>
      <c r="AL13" s="57">
        <f t="shared" si="4"/>
        <v>4538.8</v>
      </c>
      <c r="AM13" s="23">
        <v>46111</v>
      </c>
      <c r="AN13" s="5" t="s">
        <v>66</v>
      </c>
      <c r="AO13" s="5" t="s">
        <v>91</v>
      </c>
      <c r="AP13" s="33" t="s">
        <v>181</v>
      </c>
      <c r="AQ13" s="59">
        <f t="shared" si="5"/>
        <v>6484</v>
      </c>
      <c r="AR13" s="55">
        <f t="shared" si="7"/>
        <v>271846.31</v>
      </c>
      <c r="AS13" s="59">
        <f>+AI13*(1+'[1]Proforma 2026'!$AS$2)</f>
        <v>1578.9690082644627</v>
      </c>
      <c r="AT13" s="60">
        <f t="shared" si="8"/>
        <v>49915.647314049587</v>
      </c>
      <c r="AU13" s="61">
        <f t="shared" si="6"/>
        <v>45835</v>
      </c>
    </row>
    <row r="14" spans="1:47" ht="15.6" x14ac:dyDescent="0.3">
      <c r="A14" s="16" t="s">
        <v>182</v>
      </c>
      <c r="B14" s="48" t="s">
        <v>162</v>
      </c>
      <c r="D14" s="4"/>
      <c r="E14" s="4"/>
      <c r="F14" s="4"/>
      <c r="G14" s="4"/>
      <c r="H14" s="4" t="s">
        <v>52</v>
      </c>
      <c r="I14" s="12"/>
      <c r="J14" s="12" t="s">
        <v>183</v>
      </c>
      <c r="L14" s="7">
        <v>45839</v>
      </c>
      <c r="M14" s="8" t="s">
        <v>184</v>
      </c>
      <c r="N14" s="9">
        <v>2</v>
      </c>
      <c r="O14" s="49">
        <f t="shared" si="0"/>
        <v>46085</v>
      </c>
      <c r="P14" s="50">
        <f t="shared" si="1"/>
        <v>46092</v>
      </c>
      <c r="Q14" s="10">
        <v>46132</v>
      </c>
      <c r="R14" s="10">
        <v>46133</v>
      </c>
      <c r="S14" s="8" t="s">
        <v>185</v>
      </c>
      <c r="T14" s="8"/>
      <c r="U14" s="8" t="s">
        <v>186</v>
      </c>
      <c r="V14" s="51" t="s">
        <v>187</v>
      </c>
      <c r="W14" s="11">
        <v>49646332</v>
      </c>
      <c r="X14" s="12" t="s">
        <v>169</v>
      </c>
      <c r="Y14" s="8" t="s">
        <v>155</v>
      </c>
      <c r="Z14" s="12" t="s">
        <v>156</v>
      </c>
      <c r="AA14" s="13" t="s">
        <v>157</v>
      </c>
      <c r="AB14" s="52" t="s">
        <v>64</v>
      </c>
      <c r="AD14" s="52" t="s">
        <v>65</v>
      </c>
      <c r="AE14" s="54">
        <v>543</v>
      </c>
      <c r="AF14" s="62">
        <v>0</v>
      </c>
      <c r="AG14" s="56">
        <f t="shared" si="2"/>
        <v>543</v>
      </c>
      <c r="AH14" s="57">
        <v>480.45</v>
      </c>
      <c r="AI14" s="58">
        <f t="shared" si="3"/>
        <v>51.694214876033065</v>
      </c>
      <c r="AJ14" s="57">
        <f>271.5</f>
        <v>271.5</v>
      </c>
      <c r="AK14" s="63">
        <v>45839</v>
      </c>
      <c r="AL14" s="64">
        <f t="shared" si="4"/>
        <v>271.5</v>
      </c>
      <c r="AM14" s="32">
        <v>45839</v>
      </c>
      <c r="AN14" s="29" t="s">
        <v>66</v>
      </c>
      <c r="AO14" s="29" t="s">
        <v>77</v>
      </c>
      <c r="AP14" s="33"/>
      <c r="AQ14" s="59">
        <f t="shared" si="5"/>
        <v>543</v>
      </c>
      <c r="AR14" s="60">
        <f t="shared" si="7"/>
        <v>272389.31</v>
      </c>
      <c r="AS14" s="59">
        <f>+AI14*(1+'[1]Proforma 2026'!$AS$2)</f>
        <v>57.639049586776871</v>
      </c>
      <c r="AT14" s="60">
        <f t="shared" si="8"/>
        <v>49973.286363636362</v>
      </c>
      <c r="AU14" s="61">
        <f t="shared" si="6"/>
        <v>45839</v>
      </c>
    </row>
    <row r="15" spans="1:47" ht="15.6" x14ac:dyDescent="0.3">
      <c r="A15" s="16" t="s">
        <v>188</v>
      </c>
      <c r="B15" s="48">
        <v>36348</v>
      </c>
      <c r="D15" s="4" t="s">
        <v>52</v>
      </c>
      <c r="E15" s="4"/>
      <c r="F15" s="4"/>
      <c r="G15" s="4"/>
      <c r="H15" s="4"/>
      <c r="I15" s="12" t="s">
        <v>70</v>
      </c>
      <c r="J15" s="12" t="s">
        <v>136</v>
      </c>
      <c r="L15" s="7">
        <v>45842</v>
      </c>
      <c r="M15" s="8" t="s">
        <v>189</v>
      </c>
      <c r="N15" s="9">
        <v>2</v>
      </c>
      <c r="O15" s="49">
        <f t="shared" si="0"/>
        <v>46094</v>
      </c>
      <c r="P15" s="50">
        <f t="shared" si="1"/>
        <v>46101</v>
      </c>
      <c r="Q15" s="10">
        <v>46141</v>
      </c>
      <c r="R15" s="10">
        <v>46151</v>
      </c>
      <c r="S15" s="8" t="s">
        <v>190</v>
      </c>
      <c r="T15" s="8"/>
      <c r="U15" s="8"/>
      <c r="V15" s="51"/>
      <c r="W15" s="11" t="s">
        <v>75</v>
      </c>
      <c r="X15" s="12"/>
      <c r="Y15" s="8"/>
      <c r="Z15" s="12"/>
      <c r="AA15" s="13"/>
      <c r="AB15" s="52"/>
      <c r="AD15" s="52" t="s">
        <v>191</v>
      </c>
      <c r="AE15" s="54">
        <v>22716</v>
      </c>
      <c r="AF15" s="55">
        <v>1136</v>
      </c>
      <c r="AG15" s="56">
        <f t="shared" si="2"/>
        <v>21580</v>
      </c>
      <c r="AH15" s="57">
        <v>17352.650000000001</v>
      </c>
      <c r="AI15" s="58">
        <f t="shared" si="3"/>
        <v>4432.5206611570238</v>
      </c>
      <c r="AJ15" s="57">
        <f>300+6814.8</f>
        <v>7114.8</v>
      </c>
      <c r="AK15" s="63">
        <v>45916</v>
      </c>
      <c r="AL15" s="57">
        <f t="shared" si="4"/>
        <v>15601.2</v>
      </c>
      <c r="AM15" s="23">
        <v>46108</v>
      </c>
      <c r="AN15" s="5" t="s">
        <v>66</v>
      </c>
      <c r="AO15" s="5" t="s">
        <v>91</v>
      </c>
      <c r="AP15" s="33"/>
      <c r="AQ15" s="59">
        <f t="shared" si="5"/>
        <v>22716</v>
      </c>
      <c r="AR15" s="60">
        <f t="shared" si="7"/>
        <v>295105.31</v>
      </c>
      <c r="AS15" s="59">
        <f>+AI15*(1+'[1]Proforma 2026'!$AS$2)</f>
        <v>4942.2605371900818</v>
      </c>
      <c r="AT15" s="60">
        <f t="shared" si="8"/>
        <v>54915.546900826441</v>
      </c>
      <c r="AU15" s="61">
        <f t="shared" si="6"/>
        <v>45842</v>
      </c>
    </row>
    <row r="16" spans="1:47" ht="15.6" x14ac:dyDescent="0.3">
      <c r="A16" s="16" t="s">
        <v>192</v>
      </c>
      <c r="B16" s="48">
        <v>35928</v>
      </c>
      <c r="C16" s="4"/>
      <c r="D16" s="4" t="s">
        <v>52</v>
      </c>
      <c r="E16" s="4"/>
      <c r="F16" s="4"/>
      <c r="G16" s="4"/>
      <c r="H16" s="4"/>
      <c r="I16" s="12" t="s">
        <v>53</v>
      </c>
      <c r="J16" s="12" t="s">
        <v>109</v>
      </c>
      <c r="K16" s="6"/>
      <c r="L16" s="7">
        <v>45848</v>
      </c>
      <c r="M16" s="8" t="s">
        <v>193</v>
      </c>
      <c r="N16" s="9">
        <v>2</v>
      </c>
      <c r="O16" s="49">
        <f t="shared" si="0"/>
        <v>46061</v>
      </c>
      <c r="P16" s="50">
        <f t="shared" si="1"/>
        <v>46068</v>
      </c>
      <c r="Q16" s="10">
        <v>46108</v>
      </c>
      <c r="R16" s="10">
        <v>46113</v>
      </c>
      <c r="S16" s="8" t="s">
        <v>194</v>
      </c>
      <c r="T16" s="8" t="s">
        <v>195</v>
      </c>
      <c r="U16" s="8" t="s">
        <v>196</v>
      </c>
      <c r="V16" s="51" t="s">
        <v>197</v>
      </c>
      <c r="W16" s="11" t="s">
        <v>198</v>
      </c>
      <c r="X16" s="12"/>
      <c r="Y16" s="8" t="s">
        <v>199</v>
      </c>
      <c r="Z16" s="12" t="s">
        <v>200</v>
      </c>
      <c r="AA16" s="13">
        <v>33470</v>
      </c>
      <c r="AB16" s="52" t="s">
        <v>64</v>
      </c>
      <c r="AD16" s="52" t="s">
        <v>201</v>
      </c>
      <c r="AE16" s="54">
        <v>8581</v>
      </c>
      <c r="AF16" s="62">
        <v>1287</v>
      </c>
      <c r="AG16" s="56">
        <f t="shared" si="2"/>
        <v>7294</v>
      </c>
      <c r="AH16" s="57">
        <v>6138.91</v>
      </c>
      <c r="AI16" s="58">
        <f t="shared" si="3"/>
        <v>2018.2561983471076</v>
      </c>
      <c r="AJ16" s="57">
        <v>2574.3000000000002</v>
      </c>
      <c r="AK16" s="30">
        <v>45849</v>
      </c>
      <c r="AL16" s="57">
        <f t="shared" si="4"/>
        <v>6006.7</v>
      </c>
      <c r="AM16" s="23">
        <v>46069</v>
      </c>
      <c r="AN16" s="5" t="s">
        <v>66</v>
      </c>
      <c r="AO16" s="5" t="s">
        <v>91</v>
      </c>
      <c r="AQ16" s="59">
        <f t="shared" si="5"/>
        <v>8581</v>
      </c>
      <c r="AR16" s="55">
        <f t="shared" si="7"/>
        <v>303686.31</v>
      </c>
      <c r="AS16" s="59">
        <f>+AI16*(1+'[1]Proforma 2026'!$AS$2)</f>
        <v>2250.3556611570248</v>
      </c>
      <c r="AT16" s="60">
        <f t="shared" si="8"/>
        <v>57165.902561983465</v>
      </c>
      <c r="AU16" s="61">
        <f t="shared" si="6"/>
        <v>45848</v>
      </c>
    </row>
    <row r="17" spans="1:47" ht="15.6" x14ac:dyDescent="0.3">
      <c r="A17" s="16" t="s">
        <v>202</v>
      </c>
      <c r="B17" s="48" t="s">
        <v>203</v>
      </c>
      <c r="C17" s="4"/>
      <c r="D17" s="4" t="s">
        <v>52</v>
      </c>
      <c r="E17" s="4"/>
      <c r="F17" s="4"/>
      <c r="G17" s="4"/>
      <c r="H17" s="4"/>
      <c r="I17" s="12" t="s">
        <v>108</v>
      </c>
      <c r="J17" s="12" t="s">
        <v>109</v>
      </c>
      <c r="K17" s="6"/>
      <c r="L17" s="7">
        <v>45855</v>
      </c>
      <c r="M17" s="8" t="s">
        <v>204</v>
      </c>
      <c r="N17" s="9">
        <v>2</v>
      </c>
      <c r="O17" s="49">
        <f t="shared" si="0"/>
        <v>46196</v>
      </c>
      <c r="P17" s="50">
        <f t="shared" si="1"/>
        <v>46203</v>
      </c>
      <c r="Q17" s="10">
        <v>46243</v>
      </c>
      <c r="R17" s="10">
        <v>46251</v>
      </c>
      <c r="S17" s="8" t="s">
        <v>205</v>
      </c>
      <c r="T17" s="8" t="s">
        <v>206</v>
      </c>
      <c r="U17" s="8" t="s">
        <v>207</v>
      </c>
      <c r="V17" s="51" t="s">
        <v>208</v>
      </c>
      <c r="W17" s="11" t="s">
        <v>209</v>
      </c>
      <c r="X17" s="12" t="s">
        <v>210</v>
      </c>
      <c r="Y17" s="8" t="s">
        <v>211</v>
      </c>
      <c r="Z17" s="12" t="s">
        <v>212</v>
      </c>
      <c r="AA17" s="13">
        <v>91423</v>
      </c>
      <c r="AB17" s="52" t="s">
        <v>64</v>
      </c>
      <c r="AD17" s="52" t="s">
        <v>119</v>
      </c>
      <c r="AE17" s="54">
        <v>15140</v>
      </c>
      <c r="AF17" s="55">
        <v>1816</v>
      </c>
      <c r="AG17" s="56">
        <f t="shared" si="2"/>
        <v>13324</v>
      </c>
      <c r="AH17" s="57">
        <v>11953.93</v>
      </c>
      <c r="AI17" s="58">
        <f t="shared" si="3"/>
        <v>2633.1157024793388</v>
      </c>
      <c r="AJ17" s="57">
        <v>4542</v>
      </c>
      <c r="AK17" s="30">
        <v>45859</v>
      </c>
      <c r="AL17" s="64">
        <f t="shared" si="4"/>
        <v>10598</v>
      </c>
      <c r="AM17" s="32">
        <v>46202</v>
      </c>
      <c r="AN17" s="29" t="s">
        <v>66</v>
      </c>
      <c r="AO17" s="29" t="s">
        <v>91</v>
      </c>
      <c r="AQ17" s="59">
        <f t="shared" si="5"/>
        <v>15140</v>
      </c>
      <c r="AR17" s="60">
        <f t="shared" si="7"/>
        <v>318826.31</v>
      </c>
      <c r="AS17" s="59">
        <f>+AI17*(1+'[1]Proforma 2026'!$AS$2)</f>
        <v>2935.9240082644628</v>
      </c>
      <c r="AT17" s="60">
        <f t="shared" si="8"/>
        <v>60101.826570247926</v>
      </c>
      <c r="AU17" s="61">
        <f t="shared" si="6"/>
        <v>45855</v>
      </c>
    </row>
    <row r="18" spans="1:47" ht="15.6" x14ac:dyDescent="0.3">
      <c r="A18" s="16" t="s">
        <v>213</v>
      </c>
      <c r="B18" s="48" t="s">
        <v>214</v>
      </c>
      <c r="C18" s="4"/>
      <c r="D18" s="4" t="s">
        <v>52</v>
      </c>
      <c r="E18" s="4"/>
      <c r="F18" s="4"/>
      <c r="G18" s="4"/>
      <c r="H18" s="4"/>
      <c r="I18" s="12" t="s">
        <v>94</v>
      </c>
      <c r="J18" s="12" t="s">
        <v>124</v>
      </c>
      <c r="K18" s="6"/>
      <c r="L18" s="7">
        <v>45855</v>
      </c>
      <c r="M18" s="8" t="s">
        <v>215</v>
      </c>
      <c r="N18" s="9">
        <v>4</v>
      </c>
      <c r="O18" s="49">
        <f t="shared" si="0"/>
        <v>46111</v>
      </c>
      <c r="P18" s="50">
        <f t="shared" si="1"/>
        <v>46118</v>
      </c>
      <c r="Q18" s="10">
        <v>46158</v>
      </c>
      <c r="R18" s="10">
        <v>46167</v>
      </c>
      <c r="S18" s="8" t="s">
        <v>111</v>
      </c>
      <c r="T18" s="8"/>
      <c r="U18" s="8" t="s">
        <v>216</v>
      </c>
      <c r="V18" s="51" t="s">
        <v>217</v>
      </c>
      <c r="W18" s="11">
        <v>96023583</v>
      </c>
      <c r="X18" s="12" t="s">
        <v>218</v>
      </c>
      <c r="Y18" s="12" t="s">
        <v>116</v>
      </c>
      <c r="Z18" s="12"/>
      <c r="AA18" s="13" t="s">
        <v>117</v>
      </c>
      <c r="AB18" s="52" t="s">
        <v>118</v>
      </c>
      <c r="AD18" s="12" t="s">
        <v>119</v>
      </c>
      <c r="AE18" s="54">
        <v>21320</v>
      </c>
      <c r="AF18" s="62">
        <v>0</v>
      </c>
      <c r="AG18" s="56">
        <f t="shared" si="2"/>
        <v>21320</v>
      </c>
      <c r="AH18" s="57">
        <v>17527.400000000001</v>
      </c>
      <c r="AI18" s="58">
        <f t="shared" si="3"/>
        <v>3134.3801652892553</v>
      </c>
      <c r="AJ18" s="57">
        <v>6396</v>
      </c>
      <c r="AK18" s="30">
        <v>45917</v>
      </c>
      <c r="AL18" s="64">
        <f t="shared" si="4"/>
        <v>14924</v>
      </c>
      <c r="AM18" s="32">
        <v>46127</v>
      </c>
      <c r="AN18" s="29" t="s">
        <v>66</v>
      </c>
      <c r="AO18" s="29" t="s">
        <v>219</v>
      </c>
      <c r="AQ18" s="59">
        <f t="shared" si="5"/>
        <v>21320</v>
      </c>
      <c r="AR18" s="60">
        <f t="shared" si="7"/>
        <v>340146.31</v>
      </c>
      <c r="AS18" s="59">
        <f>+AI18*(1+'[1]Proforma 2026'!$AS$2)</f>
        <v>3494.8338842975195</v>
      </c>
      <c r="AT18" s="60">
        <f t="shared" si="8"/>
        <v>63596.660454545447</v>
      </c>
      <c r="AU18" s="61">
        <f t="shared" si="6"/>
        <v>45855</v>
      </c>
    </row>
    <row r="19" spans="1:47" ht="15.6" x14ac:dyDescent="0.3">
      <c r="A19" s="16" t="s">
        <v>220</v>
      </c>
      <c r="B19" s="48" t="s">
        <v>221</v>
      </c>
      <c r="C19" s="4"/>
      <c r="D19" s="4" t="s">
        <v>52</v>
      </c>
      <c r="E19" s="4"/>
      <c r="F19" s="4"/>
      <c r="G19" s="4"/>
      <c r="H19" s="4"/>
      <c r="I19" s="12" t="s">
        <v>81</v>
      </c>
      <c r="J19" s="12" t="s">
        <v>124</v>
      </c>
      <c r="K19" s="6"/>
      <c r="L19" s="7">
        <v>45855</v>
      </c>
      <c r="M19" s="8" t="s">
        <v>222</v>
      </c>
      <c r="N19" s="9">
        <v>2</v>
      </c>
      <c r="O19" s="49">
        <f t="shared" si="0"/>
        <v>45991</v>
      </c>
      <c r="P19" s="50">
        <f t="shared" si="1"/>
        <v>45998</v>
      </c>
      <c r="Q19" s="10">
        <v>46038</v>
      </c>
      <c r="R19" s="10">
        <v>46039</v>
      </c>
      <c r="S19" s="8" t="s">
        <v>223</v>
      </c>
      <c r="T19" s="8"/>
      <c r="U19" s="8" t="s">
        <v>224</v>
      </c>
      <c r="V19" s="51" t="s">
        <v>225</v>
      </c>
      <c r="W19" s="11">
        <v>36505512</v>
      </c>
      <c r="X19" s="12" t="s">
        <v>226</v>
      </c>
      <c r="Y19" s="12" t="s">
        <v>227</v>
      </c>
      <c r="Z19" s="12" t="s">
        <v>228</v>
      </c>
      <c r="AA19" s="13" t="s">
        <v>229</v>
      </c>
      <c r="AB19" s="12" t="s">
        <v>64</v>
      </c>
      <c r="AD19" s="12" t="s">
        <v>65</v>
      </c>
      <c r="AE19" s="54">
        <v>5130</v>
      </c>
      <c r="AF19" s="62">
        <v>564</v>
      </c>
      <c r="AG19" s="56">
        <f t="shared" si="2"/>
        <v>4566</v>
      </c>
      <c r="AH19" s="57">
        <v>3751.18</v>
      </c>
      <c r="AI19" s="58">
        <f t="shared" si="3"/>
        <v>1139.520661157025</v>
      </c>
      <c r="AJ19" s="57"/>
      <c r="AK19" s="68"/>
      <c r="AL19" s="64">
        <f t="shared" si="4"/>
        <v>5130</v>
      </c>
      <c r="AM19" s="32">
        <v>45855</v>
      </c>
      <c r="AN19" s="29" t="s">
        <v>66</v>
      </c>
      <c r="AO19" s="29" t="s">
        <v>77</v>
      </c>
      <c r="AQ19" s="59">
        <f t="shared" si="5"/>
        <v>5130</v>
      </c>
      <c r="AR19" s="60">
        <f t="shared" si="7"/>
        <v>345276.31</v>
      </c>
      <c r="AS19" s="59">
        <f>+AI19*(1+'[1]Proforma 2026'!$AS$2)</f>
        <v>1270.5655371900828</v>
      </c>
      <c r="AT19" s="60">
        <f t="shared" si="8"/>
        <v>64867.225991735526</v>
      </c>
      <c r="AU19" s="61">
        <f t="shared" si="6"/>
        <v>45855</v>
      </c>
    </row>
    <row r="20" spans="1:47" ht="15.6" x14ac:dyDescent="0.3">
      <c r="A20" s="16" t="s">
        <v>230</v>
      </c>
      <c r="B20" s="48" t="s">
        <v>107</v>
      </c>
      <c r="C20" s="4"/>
      <c r="D20" s="4" t="s">
        <v>52</v>
      </c>
      <c r="E20" s="4"/>
      <c r="F20" s="4"/>
      <c r="G20" s="4"/>
      <c r="H20" s="4"/>
      <c r="I20" s="12" t="s">
        <v>108</v>
      </c>
      <c r="J20" s="12" t="s">
        <v>231</v>
      </c>
      <c r="K20" s="6"/>
      <c r="L20" s="7">
        <v>45866</v>
      </c>
      <c r="M20" s="8" t="s">
        <v>232</v>
      </c>
      <c r="N20" s="9">
        <v>2</v>
      </c>
      <c r="O20" s="49">
        <f t="shared" si="0"/>
        <v>46075</v>
      </c>
      <c r="P20" s="50">
        <f t="shared" si="1"/>
        <v>46082</v>
      </c>
      <c r="Q20" s="10">
        <v>46122</v>
      </c>
      <c r="R20" s="10">
        <v>46136</v>
      </c>
      <c r="S20" s="8" t="s">
        <v>233</v>
      </c>
      <c r="T20" s="8"/>
      <c r="U20" s="8" t="s">
        <v>234</v>
      </c>
      <c r="V20" s="51" t="s">
        <v>235</v>
      </c>
      <c r="W20" s="11">
        <v>96023583</v>
      </c>
      <c r="X20" s="12" t="s">
        <v>115</v>
      </c>
      <c r="Y20" s="12" t="s">
        <v>116</v>
      </c>
      <c r="Z20" s="12"/>
      <c r="AA20" s="13" t="s">
        <v>117</v>
      </c>
      <c r="AB20" s="52" t="s">
        <v>118</v>
      </c>
      <c r="AD20" s="12" t="s">
        <v>119</v>
      </c>
      <c r="AE20" s="54">
        <v>20844</v>
      </c>
      <c r="AF20" s="62">
        <v>0</v>
      </c>
      <c r="AG20" s="56">
        <f t="shared" si="2"/>
        <v>20844</v>
      </c>
      <c r="AH20" s="57">
        <v>16832.830000000002</v>
      </c>
      <c r="AI20" s="58">
        <f t="shared" si="3"/>
        <v>3315.0165289256183</v>
      </c>
      <c r="AJ20" s="57">
        <v>500</v>
      </c>
      <c r="AK20" s="30">
        <v>46091</v>
      </c>
      <c r="AL20" s="64">
        <f t="shared" si="4"/>
        <v>20344</v>
      </c>
      <c r="AM20" s="32">
        <v>46091</v>
      </c>
      <c r="AN20" s="29" t="s">
        <v>66</v>
      </c>
      <c r="AO20" s="29" t="s">
        <v>219</v>
      </c>
      <c r="AQ20" s="59">
        <f t="shared" si="5"/>
        <v>20844</v>
      </c>
      <c r="AR20" s="55">
        <f t="shared" si="7"/>
        <v>366120.31</v>
      </c>
      <c r="AS20" s="59">
        <f>+AI20*(1+'[1]Proforma 2026'!$AS$2)</f>
        <v>3696.2434297520645</v>
      </c>
      <c r="AT20" s="60">
        <f t="shared" si="8"/>
        <v>68563.469421487593</v>
      </c>
      <c r="AU20" s="61">
        <f t="shared" si="6"/>
        <v>45866</v>
      </c>
    </row>
    <row r="21" spans="1:47" ht="15.6" x14ac:dyDescent="0.3">
      <c r="A21" s="16" t="s">
        <v>236</v>
      </c>
      <c r="B21" s="48" t="s">
        <v>237</v>
      </c>
      <c r="C21" s="4"/>
      <c r="D21" s="4" t="s">
        <v>52</v>
      </c>
      <c r="E21" s="4"/>
      <c r="F21" s="4"/>
      <c r="G21" s="4"/>
      <c r="H21" s="4"/>
      <c r="I21" s="12" t="s">
        <v>108</v>
      </c>
      <c r="J21" s="12" t="s">
        <v>109</v>
      </c>
      <c r="K21" s="6"/>
      <c r="L21" s="7">
        <v>45870</v>
      </c>
      <c r="M21" s="8" t="s">
        <v>238</v>
      </c>
      <c r="N21" s="9">
        <v>4</v>
      </c>
      <c r="O21" s="49">
        <f t="shared" si="0"/>
        <v>46062</v>
      </c>
      <c r="P21" s="50">
        <f t="shared" si="1"/>
        <v>46069</v>
      </c>
      <c r="Q21" s="10">
        <v>46109</v>
      </c>
      <c r="R21" s="10">
        <v>46117</v>
      </c>
      <c r="S21" s="8" t="s">
        <v>239</v>
      </c>
      <c r="T21" s="8"/>
      <c r="U21" s="8" t="s">
        <v>240</v>
      </c>
      <c r="V21" s="51" t="s">
        <v>241</v>
      </c>
      <c r="W21" s="11">
        <v>10588863</v>
      </c>
      <c r="X21" s="12" t="s">
        <v>242</v>
      </c>
      <c r="Y21" s="12" t="s">
        <v>243</v>
      </c>
      <c r="Z21" s="12" t="s">
        <v>200</v>
      </c>
      <c r="AA21" s="13">
        <v>33149</v>
      </c>
      <c r="AB21" s="52" t="s">
        <v>64</v>
      </c>
      <c r="AD21" s="12" t="s">
        <v>65</v>
      </c>
      <c r="AE21" s="54">
        <v>26827</v>
      </c>
      <c r="AF21" s="62">
        <v>2703</v>
      </c>
      <c r="AG21" s="56">
        <f t="shared" si="2"/>
        <v>24124</v>
      </c>
      <c r="AH21" s="57">
        <v>21270.23</v>
      </c>
      <c r="AI21" s="58">
        <f t="shared" si="3"/>
        <v>4592.371900826447</v>
      </c>
      <c r="AJ21" s="57">
        <f>3523.35+3523.35+2207+8786.65</f>
        <v>18040.349999999999</v>
      </c>
      <c r="AK21" s="30">
        <v>46091</v>
      </c>
      <c r="AL21" s="57">
        <f t="shared" si="4"/>
        <v>8786.6500000000015</v>
      </c>
      <c r="AM21" s="23">
        <v>46091</v>
      </c>
      <c r="AN21" s="5" t="s">
        <v>66</v>
      </c>
      <c r="AO21" s="5" t="s">
        <v>91</v>
      </c>
      <c r="AQ21" s="59">
        <f t="shared" si="5"/>
        <v>26827</v>
      </c>
      <c r="AR21" s="60">
        <f t="shared" si="7"/>
        <v>392947.31</v>
      </c>
      <c r="AS21" s="59">
        <f>+AI21*(1+'[1]Proforma 2026'!$AS$2)</f>
        <v>5120.4946694214887</v>
      </c>
      <c r="AT21" s="60">
        <f t="shared" si="8"/>
        <v>73683.964090909081</v>
      </c>
      <c r="AU21" s="61">
        <f t="shared" si="6"/>
        <v>45870</v>
      </c>
    </row>
    <row r="22" spans="1:47" ht="15.6" x14ac:dyDescent="0.3">
      <c r="A22" s="16" t="s">
        <v>244</v>
      </c>
      <c r="B22" s="48" t="s">
        <v>245</v>
      </c>
      <c r="C22" s="4"/>
      <c r="D22" s="4"/>
      <c r="E22" s="4" t="s">
        <v>52</v>
      </c>
      <c r="F22" s="4"/>
      <c r="G22" s="4"/>
      <c r="H22" s="4"/>
      <c r="I22" s="12" t="s">
        <v>53</v>
      </c>
      <c r="J22" s="12" t="s">
        <v>82</v>
      </c>
      <c r="K22" s="6"/>
      <c r="L22" s="7">
        <v>45870</v>
      </c>
      <c r="M22" s="8" t="s">
        <v>246</v>
      </c>
      <c r="N22" s="9">
        <v>2</v>
      </c>
      <c r="O22" s="49">
        <f t="shared" si="0"/>
        <v>46110</v>
      </c>
      <c r="P22" s="50">
        <f t="shared" si="1"/>
        <v>46117</v>
      </c>
      <c r="Q22" s="10">
        <v>46157</v>
      </c>
      <c r="R22" s="10">
        <v>46168</v>
      </c>
      <c r="S22" s="8" t="s">
        <v>247</v>
      </c>
      <c r="T22" s="8"/>
      <c r="U22" s="8" t="s">
        <v>248</v>
      </c>
      <c r="V22" s="51" t="s">
        <v>249</v>
      </c>
      <c r="W22" s="11">
        <v>10761564</v>
      </c>
      <c r="X22" s="12" t="s">
        <v>250</v>
      </c>
      <c r="Y22" s="12" t="s">
        <v>251</v>
      </c>
      <c r="Z22" s="12" t="s">
        <v>200</v>
      </c>
      <c r="AA22" s="13">
        <v>34108</v>
      </c>
      <c r="AB22" s="52" t="s">
        <v>64</v>
      </c>
      <c r="AD22" s="12" t="s">
        <v>132</v>
      </c>
      <c r="AE22" s="54">
        <v>12084</v>
      </c>
      <c r="AF22" s="62">
        <v>1884</v>
      </c>
      <c r="AG22" s="56">
        <f t="shared" si="2"/>
        <v>10200</v>
      </c>
      <c r="AH22" s="57">
        <v>9081.2099999999991</v>
      </c>
      <c r="AI22" s="58">
        <f t="shared" si="3"/>
        <v>2481.6446280991745</v>
      </c>
      <c r="AJ22" s="57">
        <f>2513.7+10044.3</f>
        <v>12558</v>
      </c>
      <c r="AK22" s="30">
        <v>46090</v>
      </c>
      <c r="AL22" s="64">
        <f t="shared" si="4"/>
        <v>-474</v>
      </c>
      <c r="AM22" s="32">
        <v>46175</v>
      </c>
      <c r="AN22" s="29" t="s">
        <v>66</v>
      </c>
      <c r="AO22" s="29" t="s">
        <v>91</v>
      </c>
      <c r="AQ22" s="59">
        <f t="shared" si="5"/>
        <v>12084</v>
      </c>
      <c r="AR22" s="60">
        <f t="shared" si="7"/>
        <v>405031.31</v>
      </c>
      <c r="AS22" s="59">
        <f>+AI22*(1+'[1]Proforma 2026'!$AS$2)</f>
        <v>2767.0337603305798</v>
      </c>
      <c r="AT22" s="60">
        <f t="shared" si="8"/>
        <v>76450.997851239663</v>
      </c>
      <c r="AU22" s="61">
        <f t="shared" si="6"/>
        <v>45870</v>
      </c>
    </row>
    <row r="23" spans="1:47" ht="15.6" x14ac:dyDescent="0.3">
      <c r="A23" s="16" t="s">
        <v>252</v>
      </c>
      <c r="B23" s="48" t="s">
        <v>253</v>
      </c>
      <c r="C23" s="4" t="s">
        <v>52</v>
      </c>
      <c r="D23" s="4"/>
      <c r="E23" s="4"/>
      <c r="F23" s="4"/>
      <c r="G23" s="4"/>
      <c r="H23" s="4"/>
      <c r="I23" s="12" t="s">
        <v>148</v>
      </c>
      <c r="J23" s="12" t="s">
        <v>82</v>
      </c>
      <c r="K23" s="6"/>
      <c r="L23" s="7">
        <v>45873</v>
      </c>
      <c r="M23" s="8" t="s">
        <v>254</v>
      </c>
      <c r="N23" s="9">
        <v>10</v>
      </c>
      <c r="O23" s="49">
        <f t="shared" si="0"/>
        <v>46108</v>
      </c>
      <c r="P23" s="50">
        <f t="shared" si="1"/>
        <v>46115</v>
      </c>
      <c r="Q23" s="10">
        <v>46155</v>
      </c>
      <c r="R23" s="10">
        <v>46166</v>
      </c>
      <c r="S23" s="8" t="s">
        <v>255</v>
      </c>
      <c r="T23" s="8" t="s">
        <v>256</v>
      </c>
      <c r="U23" s="8" t="s">
        <v>257</v>
      </c>
      <c r="V23" s="51" t="s">
        <v>258</v>
      </c>
      <c r="W23" s="11">
        <v>34574260</v>
      </c>
      <c r="X23" s="12"/>
      <c r="Y23" s="12" t="s">
        <v>259</v>
      </c>
      <c r="Z23" s="12" t="s">
        <v>260</v>
      </c>
      <c r="AA23" s="13"/>
      <c r="AB23" s="52" t="s">
        <v>64</v>
      </c>
      <c r="AD23" s="12" t="s">
        <v>65</v>
      </c>
      <c r="AE23" s="54">
        <v>51860</v>
      </c>
      <c r="AF23" s="62">
        <v>8465</v>
      </c>
      <c r="AG23" s="56">
        <f t="shared" si="2"/>
        <v>43395</v>
      </c>
      <c r="AH23" s="57">
        <v>45086</v>
      </c>
      <c r="AI23" s="58">
        <f t="shared" si="3"/>
        <v>5598.3471074380168</v>
      </c>
      <c r="AJ23" s="57">
        <f>14450+5386.5+31715.5</f>
        <v>51552</v>
      </c>
      <c r="AK23" s="30">
        <v>46119</v>
      </c>
      <c r="AL23" s="57">
        <f t="shared" si="4"/>
        <v>308</v>
      </c>
      <c r="AM23" s="23">
        <v>46139</v>
      </c>
      <c r="AN23" s="5" t="s">
        <v>66</v>
      </c>
      <c r="AO23" s="5" t="s">
        <v>91</v>
      </c>
      <c r="AQ23" s="59">
        <f t="shared" si="5"/>
        <v>51860</v>
      </c>
      <c r="AR23" s="60">
        <f t="shared" si="7"/>
        <v>456891.31</v>
      </c>
      <c r="AS23" s="59">
        <f>+AI23*(1+'[1]Proforma 2026'!$AS$2)</f>
        <v>6242.1570247933887</v>
      </c>
      <c r="AT23" s="60">
        <f t="shared" si="8"/>
        <v>82693.154876033048</v>
      </c>
      <c r="AU23" s="61">
        <f t="shared" si="6"/>
        <v>45873</v>
      </c>
    </row>
    <row r="24" spans="1:47" ht="15.6" x14ac:dyDescent="0.3">
      <c r="A24" s="16" t="s">
        <v>261</v>
      </c>
      <c r="B24" s="48" t="s">
        <v>262</v>
      </c>
      <c r="C24" s="4"/>
      <c r="D24" s="4" t="s">
        <v>52</v>
      </c>
      <c r="E24" s="4"/>
      <c r="F24" s="4"/>
      <c r="G24" s="4"/>
      <c r="H24" s="4"/>
      <c r="I24" s="12" t="s">
        <v>94</v>
      </c>
      <c r="J24" s="12" t="s">
        <v>263</v>
      </c>
      <c r="K24" s="6"/>
      <c r="L24" s="7">
        <v>45875</v>
      </c>
      <c r="M24" s="8" t="s">
        <v>264</v>
      </c>
      <c r="N24" s="9">
        <v>2</v>
      </c>
      <c r="O24" s="49">
        <f t="shared" si="0"/>
        <v>46100</v>
      </c>
      <c r="P24" s="50">
        <f t="shared" si="1"/>
        <v>46107</v>
      </c>
      <c r="Q24" s="10">
        <v>46147</v>
      </c>
      <c r="R24" s="10">
        <v>46158</v>
      </c>
      <c r="S24" s="8" t="s">
        <v>265</v>
      </c>
      <c r="T24" s="8"/>
      <c r="U24" s="8" t="s">
        <v>266</v>
      </c>
      <c r="V24" s="51" t="s">
        <v>267</v>
      </c>
      <c r="W24" s="11">
        <v>52627326</v>
      </c>
      <c r="X24" s="12" t="s">
        <v>268</v>
      </c>
      <c r="Y24" s="12" t="s">
        <v>269</v>
      </c>
      <c r="Z24" s="12" t="s">
        <v>270</v>
      </c>
      <c r="AA24" s="13">
        <v>53092</v>
      </c>
      <c r="AB24" s="52" t="s">
        <v>64</v>
      </c>
      <c r="AD24" s="12" t="s">
        <v>65</v>
      </c>
      <c r="AE24" s="54">
        <v>5081</v>
      </c>
      <c r="AF24" s="62">
        <v>610</v>
      </c>
      <c r="AG24" s="56">
        <f t="shared" si="2"/>
        <v>4471</v>
      </c>
      <c r="AH24" s="57">
        <v>3936.86</v>
      </c>
      <c r="AI24" s="58">
        <f t="shared" si="3"/>
        <v>945.57024793388427</v>
      </c>
      <c r="AJ24" s="57">
        <v>1524.3</v>
      </c>
      <c r="AK24" s="30">
        <v>45877</v>
      </c>
      <c r="AL24" s="64">
        <f t="shared" si="4"/>
        <v>3556.7</v>
      </c>
      <c r="AM24" s="32">
        <v>46083</v>
      </c>
      <c r="AN24" s="29" t="s">
        <v>66</v>
      </c>
      <c r="AO24" s="5" t="s">
        <v>91</v>
      </c>
      <c r="AQ24" s="59">
        <f t="shared" si="5"/>
        <v>5081</v>
      </c>
      <c r="AR24" s="55">
        <f t="shared" si="7"/>
        <v>461972.31</v>
      </c>
      <c r="AS24" s="59">
        <f>+AI24*(1+'[1]Proforma 2026'!$AS$2)</f>
        <v>1054.310826446281</v>
      </c>
      <c r="AT24" s="60">
        <f t="shared" si="8"/>
        <v>83747.465702479327</v>
      </c>
      <c r="AU24" s="61">
        <f t="shared" si="6"/>
        <v>45875</v>
      </c>
    </row>
    <row r="25" spans="1:47" ht="15.6" x14ac:dyDescent="0.3">
      <c r="A25" s="16" t="s">
        <v>271</v>
      </c>
      <c r="B25" s="48">
        <v>36352</v>
      </c>
      <c r="C25" s="4"/>
      <c r="D25" s="4" t="s">
        <v>52</v>
      </c>
      <c r="E25" s="4"/>
      <c r="F25" s="4"/>
      <c r="G25" s="4"/>
      <c r="H25" s="4"/>
      <c r="I25" s="12" t="s">
        <v>81</v>
      </c>
      <c r="J25" s="12" t="s">
        <v>183</v>
      </c>
      <c r="L25" s="7">
        <v>45882</v>
      </c>
      <c r="M25" s="8" t="s">
        <v>272</v>
      </c>
      <c r="N25" s="9">
        <v>2</v>
      </c>
      <c r="O25" s="49">
        <f t="shared" si="0"/>
        <v>46098</v>
      </c>
      <c r="P25" s="50">
        <f t="shared" si="1"/>
        <v>46105</v>
      </c>
      <c r="Q25" s="10">
        <v>46145</v>
      </c>
      <c r="R25" s="10">
        <v>46159</v>
      </c>
      <c r="S25" s="8" t="s">
        <v>273</v>
      </c>
      <c r="T25" s="8"/>
      <c r="U25" s="8" t="s">
        <v>274</v>
      </c>
      <c r="V25" s="51" t="s">
        <v>275</v>
      </c>
      <c r="W25" s="11">
        <v>61880431</v>
      </c>
      <c r="X25" s="12" t="s">
        <v>276</v>
      </c>
      <c r="Y25" s="12" t="s">
        <v>277</v>
      </c>
      <c r="Z25" s="12"/>
      <c r="AA25" s="13"/>
      <c r="AB25" s="52" t="s">
        <v>278</v>
      </c>
      <c r="AD25" s="12" t="s">
        <v>279</v>
      </c>
      <c r="AE25" s="54">
        <v>32469</v>
      </c>
      <c r="AF25" s="62">
        <v>0</v>
      </c>
      <c r="AG25" s="56">
        <f t="shared" si="2"/>
        <v>32469</v>
      </c>
      <c r="AH25" s="57">
        <v>21864.7</v>
      </c>
      <c r="AI25" s="58">
        <f t="shared" si="3"/>
        <v>8763.8842975206608</v>
      </c>
      <c r="AJ25" s="57">
        <f>300+10178.1+22390.9</f>
        <v>32869</v>
      </c>
      <c r="AK25" s="30">
        <v>46119</v>
      </c>
      <c r="AL25" s="64">
        <f t="shared" si="4"/>
        <v>-400</v>
      </c>
      <c r="AM25" s="32">
        <v>46162</v>
      </c>
      <c r="AN25" s="29" t="s">
        <v>66</v>
      </c>
      <c r="AO25" s="29" t="s">
        <v>91</v>
      </c>
      <c r="AQ25" s="59">
        <f t="shared" si="5"/>
        <v>32469</v>
      </c>
      <c r="AR25" s="60">
        <f t="shared" si="7"/>
        <v>494441.31</v>
      </c>
      <c r="AS25" s="59">
        <f>+AI25*(1+'[1]Proforma 2026'!$AS$2)</f>
        <v>9771.730991735536</v>
      </c>
      <c r="AT25" s="60">
        <f t="shared" si="8"/>
        <v>93519.196694214857</v>
      </c>
      <c r="AU25" s="61">
        <f t="shared" si="6"/>
        <v>45882</v>
      </c>
    </row>
    <row r="26" spans="1:47" ht="15.6" x14ac:dyDescent="0.3">
      <c r="A26" s="16" t="s">
        <v>280</v>
      </c>
      <c r="B26" s="48" t="s">
        <v>281</v>
      </c>
      <c r="C26" s="4"/>
      <c r="D26" s="4" t="s">
        <v>52</v>
      </c>
      <c r="E26" s="4"/>
      <c r="F26" s="4"/>
      <c r="G26" s="4"/>
      <c r="H26" s="4"/>
      <c r="I26" s="12" t="s">
        <v>148</v>
      </c>
      <c r="J26" s="12" t="s">
        <v>282</v>
      </c>
      <c r="L26" s="7">
        <v>45887</v>
      </c>
      <c r="M26" s="8" t="s">
        <v>283</v>
      </c>
      <c r="N26" s="9">
        <v>4</v>
      </c>
      <c r="O26" s="49">
        <f t="shared" si="0"/>
        <v>46062</v>
      </c>
      <c r="P26" s="50">
        <f t="shared" si="1"/>
        <v>46069</v>
      </c>
      <c r="Q26" s="10">
        <v>46109</v>
      </c>
      <c r="R26" s="10">
        <v>46119</v>
      </c>
      <c r="S26" s="8" t="s">
        <v>284</v>
      </c>
      <c r="T26" s="8" t="s">
        <v>285</v>
      </c>
      <c r="U26" s="8" t="s">
        <v>286</v>
      </c>
      <c r="V26" s="51" t="s">
        <v>287</v>
      </c>
      <c r="W26" s="11" t="s">
        <v>59</v>
      </c>
      <c r="X26" s="12" t="s">
        <v>288</v>
      </c>
      <c r="Y26" s="12" t="s">
        <v>289</v>
      </c>
      <c r="Z26" s="12" t="s">
        <v>212</v>
      </c>
      <c r="AA26" s="13" t="s">
        <v>63</v>
      </c>
      <c r="AB26" s="52" t="s">
        <v>64</v>
      </c>
      <c r="AD26" s="12" t="s">
        <v>65</v>
      </c>
      <c r="AE26" s="54">
        <v>45356.639999999999</v>
      </c>
      <c r="AF26" s="62">
        <v>5146</v>
      </c>
      <c r="AG26" s="56">
        <f t="shared" si="2"/>
        <v>40210.639999999999</v>
      </c>
      <c r="AH26" s="57">
        <v>37753.660000000003</v>
      </c>
      <c r="AI26" s="58">
        <f t="shared" si="3"/>
        <v>6283.4545454545423</v>
      </c>
      <c r="AJ26" s="57">
        <f>13860.6+31557.4</f>
        <v>45418</v>
      </c>
      <c r="AK26" s="30">
        <v>46077</v>
      </c>
      <c r="AL26" s="64">
        <f t="shared" si="4"/>
        <v>-61.360000000000582</v>
      </c>
      <c r="AM26" s="32">
        <v>46120</v>
      </c>
      <c r="AN26" s="29" t="s">
        <v>66</v>
      </c>
      <c r="AO26" s="5" t="s">
        <v>91</v>
      </c>
      <c r="AQ26" s="59">
        <f t="shared" si="5"/>
        <v>45356.639999999999</v>
      </c>
      <c r="AR26" s="60">
        <f t="shared" si="7"/>
        <v>539797.94999999995</v>
      </c>
      <c r="AS26" s="59">
        <f>+AI26*(1+'[1]Proforma 2026'!$AS$2)</f>
        <v>7006.0518181818143</v>
      </c>
      <c r="AT26" s="60">
        <f t="shared" si="8"/>
        <v>100525.24851239668</v>
      </c>
      <c r="AU26" s="61">
        <f t="shared" si="6"/>
        <v>45887</v>
      </c>
    </row>
    <row r="27" spans="1:47" ht="15.6" x14ac:dyDescent="0.3">
      <c r="A27" s="16" t="s">
        <v>290</v>
      </c>
      <c r="B27" s="48" t="s">
        <v>291</v>
      </c>
      <c r="C27" s="4"/>
      <c r="D27" s="4" t="s">
        <v>52</v>
      </c>
      <c r="E27" s="4"/>
      <c r="F27" s="4"/>
      <c r="G27" s="4"/>
      <c r="H27" s="4"/>
      <c r="I27" s="12" t="s">
        <v>81</v>
      </c>
      <c r="J27" s="12" t="s">
        <v>263</v>
      </c>
      <c r="L27" s="7">
        <v>45887</v>
      </c>
      <c r="M27" s="8" t="s">
        <v>292</v>
      </c>
      <c r="N27" s="9">
        <v>15</v>
      </c>
      <c r="O27" s="49">
        <f t="shared" si="0"/>
        <v>46041</v>
      </c>
      <c r="P27" s="50">
        <f t="shared" si="1"/>
        <v>46048</v>
      </c>
      <c r="Q27" s="10">
        <v>46088</v>
      </c>
      <c r="R27" s="10">
        <v>46095</v>
      </c>
      <c r="S27" s="8" t="s">
        <v>293</v>
      </c>
      <c r="T27" s="8"/>
      <c r="U27" s="8" t="s">
        <v>294</v>
      </c>
      <c r="V27" s="51" t="s">
        <v>295</v>
      </c>
      <c r="W27" s="11">
        <v>34936580</v>
      </c>
      <c r="X27" s="12" t="s">
        <v>296</v>
      </c>
      <c r="Y27" s="12" t="s">
        <v>297</v>
      </c>
      <c r="Z27" s="12" t="s">
        <v>298</v>
      </c>
      <c r="AA27" s="13">
        <v>27615</v>
      </c>
      <c r="AB27" s="52" t="s">
        <v>64</v>
      </c>
      <c r="AD27" s="12" t="s">
        <v>65</v>
      </c>
      <c r="AE27" s="54">
        <v>39705</v>
      </c>
      <c r="AF27" s="62">
        <v>4480</v>
      </c>
      <c r="AG27" s="56">
        <f t="shared" si="2"/>
        <v>35225</v>
      </c>
      <c r="AH27" s="57">
        <v>31080.959999999999</v>
      </c>
      <c r="AI27" s="58">
        <f t="shared" si="3"/>
        <v>7127.3057851239682</v>
      </c>
      <c r="AJ27" s="57">
        <f>12845.1+13540.95+13540.95</f>
        <v>39927</v>
      </c>
      <c r="AK27" s="30">
        <v>46035</v>
      </c>
      <c r="AL27" s="57">
        <f t="shared" si="4"/>
        <v>-222</v>
      </c>
      <c r="AM27" s="23">
        <v>46104</v>
      </c>
      <c r="AN27" s="5" t="s">
        <v>66</v>
      </c>
      <c r="AO27" s="29" t="s">
        <v>77</v>
      </c>
      <c r="AQ27" s="59">
        <f t="shared" si="5"/>
        <v>39705</v>
      </c>
      <c r="AR27" s="60">
        <f t="shared" si="7"/>
        <v>579502.94999999995</v>
      </c>
      <c r="AS27" s="59">
        <f>+AI27*(1+'[1]Proforma 2026'!$AS$2)</f>
        <v>7946.9459504132246</v>
      </c>
      <c r="AT27" s="60">
        <f t="shared" si="8"/>
        <v>108472.1944628099</v>
      </c>
      <c r="AU27" s="61">
        <f t="shared" si="6"/>
        <v>45887</v>
      </c>
    </row>
    <row r="28" spans="1:47" ht="15.6" x14ac:dyDescent="0.3">
      <c r="A28" s="16" t="s">
        <v>299</v>
      </c>
      <c r="B28" s="48" t="s">
        <v>300</v>
      </c>
      <c r="C28" s="4"/>
      <c r="D28" s="4" t="s">
        <v>52</v>
      </c>
      <c r="E28" s="4"/>
      <c r="F28" s="4"/>
      <c r="G28" s="4"/>
      <c r="H28" s="4"/>
      <c r="I28" s="12" t="s">
        <v>301</v>
      </c>
      <c r="J28" s="12" t="s">
        <v>231</v>
      </c>
      <c r="L28" s="7">
        <v>45887</v>
      </c>
      <c r="M28" s="8" t="s">
        <v>302</v>
      </c>
      <c r="N28" s="9">
        <v>6</v>
      </c>
      <c r="O28" s="49">
        <f t="shared" si="0"/>
        <v>45963</v>
      </c>
      <c r="P28" s="50">
        <f t="shared" si="1"/>
        <v>45970</v>
      </c>
      <c r="Q28" s="10">
        <v>46010</v>
      </c>
      <c r="R28" s="10">
        <v>46025</v>
      </c>
      <c r="S28" s="8" t="s">
        <v>303</v>
      </c>
      <c r="T28" s="8"/>
      <c r="U28" s="8" t="s">
        <v>304</v>
      </c>
      <c r="V28" s="51" t="s">
        <v>305</v>
      </c>
      <c r="W28" s="11" t="s">
        <v>306</v>
      </c>
      <c r="X28" s="12" t="s">
        <v>307</v>
      </c>
      <c r="Y28" s="12" t="s">
        <v>308</v>
      </c>
      <c r="Z28" s="12" t="s">
        <v>144</v>
      </c>
      <c r="AA28" s="13">
        <v>12582</v>
      </c>
      <c r="AB28" s="52" t="s">
        <v>64</v>
      </c>
      <c r="AD28" s="12" t="s">
        <v>279</v>
      </c>
      <c r="AE28" s="54">
        <v>17797</v>
      </c>
      <c r="AF28" s="62">
        <v>1424</v>
      </c>
      <c r="AG28" s="56">
        <f t="shared" si="2"/>
        <v>16373</v>
      </c>
      <c r="AH28" s="57">
        <v>13474.14</v>
      </c>
      <c r="AI28" s="58">
        <f t="shared" si="3"/>
        <v>3572.6115702479347</v>
      </c>
      <c r="AJ28" s="57">
        <f>4545.9+9982.1</f>
        <v>14528</v>
      </c>
      <c r="AK28" s="30">
        <v>45975</v>
      </c>
      <c r="AL28" s="57">
        <f t="shared" si="4"/>
        <v>3269</v>
      </c>
      <c r="AM28" s="23">
        <v>46035</v>
      </c>
      <c r="AN28" s="5" t="s">
        <v>66</v>
      </c>
      <c r="AO28" s="29" t="s">
        <v>77</v>
      </c>
      <c r="AQ28" s="59">
        <f t="shared" si="5"/>
        <v>17797</v>
      </c>
      <c r="AR28" s="60">
        <f t="shared" si="7"/>
        <v>597299.94999999995</v>
      </c>
      <c r="AS28" s="59">
        <f>+AI28*(1+'[1]Proforma 2026'!$AS$2)</f>
        <v>3983.4619008264472</v>
      </c>
      <c r="AT28" s="60">
        <f t="shared" si="8"/>
        <v>112455.65636363634</v>
      </c>
      <c r="AU28" s="61">
        <f t="shared" si="6"/>
        <v>45887</v>
      </c>
    </row>
    <row r="29" spans="1:47" ht="15.6" x14ac:dyDescent="0.3">
      <c r="A29" s="16" t="s">
        <v>309</v>
      </c>
      <c r="B29" s="48" t="s">
        <v>214</v>
      </c>
      <c r="C29" s="4"/>
      <c r="D29" s="4" t="s">
        <v>52</v>
      </c>
      <c r="E29" s="4"/>
      <c r="F29" s="4"/>
      <c r="G29" s="4"/>
      <c r="H29" s="4"/>
      <c r="I29" s="12" t="s">
        <v>301</v>
      </c>
      <c r="J29" s="12" t="s">
        <v>310</v>
      </c>
      <c r="K29" s="6"/>
      <c r="L29" s="7">
        <v>45889</v>
      </c>
      <c r="M29" s="8" t="s">
        <v>311</v>
      </c>
      <c r="N29" s="9">
        <v>6</v>
      </c>
      <c r="O29" s="49">
        <f t="shared" si="0"/>
        <v>46112</v>
      </c>
      <c r="P29" s="50">
        <f t="shared" si="1"/>
        <v>46119</v>
      </c>
      <c r="Q29" s="10">
        <v>46159</v>
      </c>
      <c r="R29" s="10">
        <v>46163</v>
      </c>
      <c r="S29" s="8" t="s">
        <v>233</v>
      </c>
      <c r="T29" s="8"/>
      <c r="U29" s="8" t="s">
        <v>312</v>
      </c>
      <c r="V29" s="51" t="s">
        <v>313</v>
      </c>
      <c r="W29" s="11">
        <v>96023583</v>
      </c>
      <c r="X29" s="12" t="s">
        <v>115</v>
      </c>
      <c r="Y29" s="12" t="s">
        <v>116</v>
      </c>
      <c r="Z29" s="12"/>
      <c r="AA29" s="13" t="s">
        <v>117</v>
      </c>
      <c r="AB29" s="52" t="s">
        <v>118</v>
      </c>
      <c r="AD29" s="12" t="s">
        <v>119</v>
      </c>
      <c r="AE29" s="54">
        <v>35686</v>
      </c>
      <c r="AF29" s="62">
        <v>0</v>
      </c>
      <c r="AG29" s="56">
        <f t="shared" si="2"/>
        <v>35686</v>
      </c>
      <c r="AH29" s="57">
        <v>28246.67</v>
      </c>
      <c r="AI29" s="58">
        <f t="shared" si="3"/>
        <v>6148.2066115702492</v>
      </c>
      <c r="AJ29" s="57">
        <f>10406+25170</f>
        <v>35576</v>
      </c>
      <c r="AK29" s="30">
        <v>46127</v>
      </c>
      <c r="AL29" s="64">
        <f t="shared" si="4"/>
        <v>110</v>
      </c>
      <c r="AM29" s="32">
        <v>46185</v>
      </c>
      <c r="AN29" s="29" t="s">
        <v>66</v>
      </c>
      <c r="AO29" s="29" t="s">
        <v>219</v>
      </c>
      <c r="AQ29" s="59">
        <f t="shared" si="5"/>
        <v>35686</v>
      </c>
      <c r="AR29" s="55">
        <f t="shared" si="7"/>
        <v>632985.94999999995</v>
      </c>
      <c r="AS29" s="59">
        <f>+AI29*(1+'[1]Proforma 2026'!$AS$2)</f>
        <v>6855.2503719008273</v>
      </c>
      <c r="AT29" s="60">
        <f t="shared" si="8"/>
        <v>119310.90673553717</v>
      </c>
      <c r="AU29" s="61">
        <f t="shared" si="6"/>
        <v>45889</v>
      </c>
    </row>
    <row r="30" spans="1:47" ht="15.6" x14ac:dyDescent="0.3">
      <c r="A30" s="16" t="s">
        <v>314</v>
      </c>
      <c r="B30" s="48" t="s">
        <v>315</v>
      </c>
      <c r="C30" s="4"/>
      <c r="D30" s="4"/>
      <c r="E30" s="4" t="s">
        <v>52</v>
      </c>
      <c r="F30" s="4"/>
      <c r="G30" s="4"/>
      <c r="H30" s="4"/>
      <c r="I30" s="12" t="s">
        <v>123</v>
      </c>
      <c r="J30" s="12" t="s">
        <v>316</v>
      </c>
      <c r="K30" s="6"/>
      <c r="L30" s="7">
        <v>45890</v>
      </c>
      <c r="M30" s="8" t="s">
        <v>317</v>
      </c>
      <c r="N30" s="9">
        <v>2</v>
      </c>
      <c r="O30" s="49">
        <f t="shared" si="0"/>
        <v>46084</v>
      </c>
      <c r="P30" s="50">
        <f t="shared" si="1"/>
        <v>46091</v>
      </c>
      <c r="Q30" s="10">
        <v>46131</v>
      </c>
      <c r="R30" s="10">
        <v>46141</v>
      </c>
      <c r="S30" s="8" t="s">
        <v>318</v>
      </c>
      <c r="T30" s="8"/>
      <c r="U30" s="8" t="s">
        <v>319</v>
      </c>
      <c r="V30" s="51" t="s">
        <v>320</v>
      </c>
      <c r="W30" s="11">
        <v>45841014</v>
      </c>
      <c r="X30" s="12" t="s">
        <v>321</v>
      </c>
      <c r="Y30" s="12" t="s">
        <v>322</v>
      </c>
      <c r="Z30" s="12" t="s">
        <v>323</v>
      </c>
      <c r="AA30" s="13" t="s">
        <v>324</v>
      </c>
      <c r="AB30" s="52" t="s">
        <v>64</v>
      </c>
      <c r="AD30" s="12" t="s">
        <v>65</v>
      </c>
      <c r="AE30" s="54">
        <v>21855</v>
      </c>
      <c r="AF30" s="62">
        <v>3278</v>
      </c>
      <c r="AG30" s="56">
        <f t="shared" si="2"/>
        <v>18577</v>
      </c>
      <c r="AH30" s="57">
        <v>16771.560000000001</v>
      </c>
      <c r="AI30" s="58">
        <f t="shared" si="3"/>
        <v>4201.1900826446272</v>
      </c>
      <c r="AJ30" s="57">
        <v>6469.5</v>
      </c>
      <c r="AK30" s="30">
        <v>45895</v>
      </c>
      <c r="AL30" s="57">
        <f t="shared" si="4"/>
        <v>15385.5</v>
      </c>
      <c r="AM30" s="23">
        <v>46097</v>
      </c>
      <c r="AN30" s="5" t="s">
        <v>66</v>
      </c>
      <c r="AO30" s="5" t="s">
        <v>91</v>
      </c>
      <c r="AQ30" s="59">
        <f t="shared" si="5"/>
        <v>21855</v>
      </c>
      <c r="AR30" s="60">
        <f t="shared" si="7"/>
        <v>654840.94999999995</v>
      </c>
      <c r="AS30" s="59">
        <f>+AI30*(1+'[1]Proforma 2026'!$AS$2)</f>
        <v>4684.3269421487594</v>
      </c>
      <c r="AT30" s="60">
        <f t="shared" si="8"/>
        <v>123995.23367768593</v>
      </c>
      <c r="AU30" s="61">
        <f t="shared" si="6"/>
        <v>45890</v>
      </c>
    </row>
    <row r="31" spans="1:47" ht="15.6" x14ac:dyDescent="0.3">
      <c r="A31" s="16" t="s">
        <v>325</v>
      </c>
      <c r="B31" s="48" t="s">
        <v>214</v>
      </c>
      <c r="C31" s="4"/>
      <c r="D31" s="4"/>
      <c r="E31" s="4" t="s">
        <v>52</v>
      </c>
      <c r="F31" s="4"/>
      <c r="G31" s="4"/>
      <c r="H31" s="4"/>
      <c r="I31" s="12" t="s">
        <v>108</v>
      </c>
      <c r="J31" s="12" t="s">
        <v>263</v>
      </c>
      <c r="K31" s="6"/>
      <c r="L31" s="7">
        <v>45891</v>
      </c>
      <c r="M31" s="8" t="s">
        <v>326</v>
      </c>
      <c r="N31" s="9">
        <v>6</v>
      </c>
      <c r="O31" s="49">
        <f t="shared" si="0"/>
        <v>46137</v>
      </c>
      <c r="P31" s="50">
        <f t="shared" si="1"/>
        <v>46144</v>
      </c>
      <c r="Q31" s="10">
        <v>46184</v>
      </c>
      <c r="R31" s="10">
        <v>46193</v>
      </c>
      <c r="S31" s="8" t="s">
        <v>233</v>
      </c>
      <c r="T31" s="8"/>
      <c r="U31" s="8" t="s">
        <v>327</v>
      </c>
      <c r="V31" s="51" t="s">
        <v>328</v>
      </c>
      <c r="W31" s="11">
        <v>96023583</v>
      </c>
      <c r="X31" s="12" t="s">
        <v>115</v>
      </c>
      <c r="Y31" s="12" t="s">
        <v>116</v>
      </c>
      <c r="Z31" s="12"/>
      <c r="AA31" s="13" t="s">
        <v>117</v>
      </c>
      <c r="AB31" s="52" t="s">
        <v>118</v>
      </c>
      <c r="AD31" s="12" t="s">
        <v>119</v>
      </c>
      <c r="AE31" s="54">
        <v>33715</v>
      </c>
      <c r="AF31" s="62">
        <v>0</v>
      </c>
      <c r="AG31" s="56">
        <f t="shared" si="2"/>
        <v>33715</v>
      </c>
      <c r="AH31" s="57">
        <v>27860.05</v>
      </c>
      <c r="AI31" s="58">
        <f t="shared" si="3"/>
        <v>4838.8016528925627</v>
      </c>
      <c r="AJ31" s="57">
        <v>9922</v>
      </c>
      <c r="AK31" s="30">
        <v>45917</v>
      </c>
      <c r="AL31" s="64">
        <f t="shared" si="4"/>
        <v>23793</v>
      </c>
      <c r="AM31" s="32">
        <v>46157</v>
      </c>
      <c r="AN31" s="29" t="s">
        <v>66</v>
      </c>
      <c r="AO31" s="29" t="s">
        <v>219</v>
      </c>
      <c r="AQ31" s="59">
        <f t="shared" si="5"/>
        <v>33715</v>
      </c>
      <c r="AR31" s="60">
        <f t="shared" si="7"/>
        <v>688555.95</v>
      </c>
      <c r="AS31" s="59">
        <f>+AI31*(1+'[1]Proforma 2026'!$AS$2)</f>
        <v>5395.2638429752078</v>
      </c>
      <c r="AT31" s="60">
        <f t="shared" si="8"/>
        <v>129390.49752066114</v>
      </c>
      <c r="AU31" s="61">
        <f t="shared" si="6"/>
        <v>45891</v>
      </c>
    </row>
    <row r="32" spans="1:47" ht="15.6" x14ac:dyDescent="0.3">
      <c r="A32" s="16" t="s">
        <v>329</v>
      </c>
      <c r="B32" s="48" t="s">
        <v>214</v>
      </c>
      <c r="C32" s="4"/>
      <c r="D32" s="4" t="s">
        <v>52</v>
      </c>
      <c r="E32" s="4"/>
      <c r="F32" s="4"/>
      <c r="G32" s="4"/>
      <c r="H32" s="4"/>
      <c r="I32" s="12" t="s">
        <v>81</v>
      </c>
      <c r="J32" s="8" t="s">
        <v>330</v>
      </c>
      <c r="K32" s="6"/>
      <c r="L32" s="7">
        <v>45891</v>
      </c>
      <c r="M32" s="8" t="s">
        <v>331</v>
      </c>
      <c r="N32" s="9">
        <v>2</v>
      </c>
      <c r="O32" s="49">
        <f t="shared" si="0"/>
        <v>46102</v>
      </c>
      <c r="P32" s="50">
        <f t="shared" si="1"/>
        <v>46109</v>
      </c>
      <c r="Q32" s="10">
        <v>46149</v>
      </c>
      <c r="R32" s="10">
        <v>46158</v>
      </c>
      <c r="S32" s="8" t="s">
        <v>332</v>
      </c>
      <c r="T32" s="8"/>
      <c r="U32" s="8" t="s">
        <v>216</v>
      </c>
      <c r="V32" s="51" t="s">
        <v>217</v>
      </c>
      <c r="W32" s="11">
        <v>96023583</v>
      </c>
      <c r="X32" s="12" t="s">
        <v>115</v>
      </c>
      <c r="Y32" s="12" t="s">
        <v>116</v>
      </c>
      <c r="Z32" s="12"/>
      <c r="AA32" s="13" t="s">
        <v>117</v>
      </c>
      <c r="AB32" s="52" t="s">
        <v>118</v>
      </c>
      <c r="AD32" s="12" t="s">
        <v>119</v>
      </c>
      <c r="AE32" s="54">
        <v>11942</v>
      </c>
      <c r="AF32" s="62">
        <v>0</v>
      </c>
      <c r="AG32" s="56">
        <f t="shared" si="2"/>
        <v>11942</v>
      </c>
      <c r="AH32" s="57">
        <v>8989.75</v>
      </c>
      <c r="AI32" s="58">
        <f t="shared" si="3"/>
        <v>2439.8760330578511</v>
      </c>
      <c r="AJ32" s="57">
        <f>3388+7904+650+650</f>
        <v>12592</v>
      </c>
      <c r="AK32" s="30">
        <v>46157</v>
      </c>
      <c r="AL32" s="69">
        <f t="shared" si="4"/>
        <v>-650</v>
      </c>
      <c r="AM32" s="70">
        <v>46199</v>
      </c>
      <c r="AN32" s="71" t="s">
        <v>66</v>
      </c>
      <c r="AO32" s="71" t="s">
        <v>219</v>
      </c>
      <c r="AQ32" s="59">
        <f t="shared" si="5"/>
        <v>11942</v>
      </c>
      <c r="AR32" s="60">
        <f t="shared" si="7"/>
        <v>700497.95</v>
      </c>
      <c r="AS32" s="59">
        <f>+AI32*(1+'[1]Proforma 2026'!$AS$2)</f>
        <v>2720.461776859504</v>
      </c>
      <c r="AT32" s="60">
        <f t="shared" si="8"/>
        <v>132110.95929752063</v>
      </c>
      <c r="AU32" s="61">
        <f t="shared" si="6"/>
        <v>45891</v>
      </c>
    </row>
    <row r="33" spans="1:47" ht="15.6" x14ac:dyDescent="0.3">
      <c r="A33" s="16" t="s">
        <v>333</v>
      </c>
      <c r="B33" s="48" t="s">
        <v>334</v>
      </c>
      <c r="C33" s="4"/>
      <c r="D33" s="4" t="s">
        <v>52</v>
      </c>
      <c r="E33" s="4"/>
      <c r="F33" s="4"/>
      <c r="G33" s="4"/>
      <c r="H33" s="4"/>
      <c r="I33" s="12" t="s">
        <v>70</v>
      </c>
      <c r="J33" s="8" t="s">
        <v>231</v>
      </c>
      <c r="L33" s="7">
        <v>45894</v>
      </c>
      <c r="M33" s="8" t="s">
        <v>335</v>
      </c>
      <c r="N33" s="9">
        <v>4</v>
      </c>
      <c r="O33" s="49">
        <f t="shared" si="0"/>
        <v>46095</v>
      </c>
      <c r="P33" s="50">
        <f t="shared" si="1"/>
        <v>46102</v>
      </c>
      <c r="Q33" s="10">
        <v>46142</v>
      </c>
      <c r="R33" s="10">
        <v>46151</v>
      </c>
      <c r="S33" s="8" t="s">
        <v>336</v>
      </c>
      <c r="T33" s="8"/>
      <c r="U33" s="8" t="s">
        <v>337</v>
      </c>
      <c r="V33" s="51" t="s">
        <v>338</v>
      </c>
      <c r="W33" s="11" t="s">
        <v>339</v>
      </c>
      <c r="X33" s="12" t="s">
        <v>340</v>
      </c>
      <c r="Y33" s="12" t="s">
        <v>341</v>
      </c>
      <c r="Z33" s="12" t="s">
        <v>212</v>
      </c>
      <c r="AA33" s="13" t="s">
        <v>342</v>
      </c>
      <c r="AB33" s="52" t="s">
        <v>64</v>
      </c>
      <c r="AD33" s="12" t="s">
        <v>132</v>
      </c>
      <c r="AE33" s="54">
        <v>32632</v>
      </c>
      <c r="AF33" s="62">
        <v>4894</v>
      </c>
      <c r="AG33" s="56">
        <f t="shared" si="2"/>
        <v>27738</v>
      </c>
      <c r="AH33" s="57">
        <v>26183.24</v>
      </c>
      <c r="AI33" s="58">
        <f t="shared" si="3"/>
        <v>5329.5537190082632</v>
      </c>
      <c r="AJ33" s="57">
        <f>4894.8+4894.8+11421.2</f>
        <v>21210.800000000003</v>
      </c>
      <c r="AK33" s="30">
        <v>46119</v>
      </c>
      <c r="AL33" s="57">
        <f t="shared" si="4"/>
        <v>11421.199999999997</v>
      </c>
      <c r="AM33" s="23">
        <v>46119</v>
      </c>
      <c r="AN33" s="5" t="s">
        <v>66</v>
      </c>
      <c r="AO33" s="5" t="s">
        <v>91</v>
      </c>
      <c r="AQ33" s="59">
        <f t="shared" si="5"/>
        <v>32632</v>
      </c>
      <c r="AR33" s="60">
        <f t="shared" si="7"/>
        <v>733129.95</v>
      </c>
      <c r="AS33" s="59">
        <f>+AI33*(1+'[1]Proforma 2026'!$AS$2)</f>
        <v>5942.4523966942133</v>
      </c>
      <c r="AT33" s="60">
        <f t="shared" si="8"/>
        <v>138053.41169421485</v>
      </c>
      <c r="AU33" s="61">
        <f t="shared" si="6"/>
        <v>45894</v>
      </c>
    </row>
    <row r="34" spans="1:47" ht="15.6" x14ac:dyDescent="0.3">
      <c r="A34" s="16" t="s">
        <v>343</v>
      </c>
      <c r="B34" s="48" t="s">
        <v>344</v>
      </c>
      <c r="C34" s="4"/>
      <c r="D34" s="4" t="s">
        <v>52</v>
      </c>
      <c r="E34" s="4"/>
      <c r="F34" s="4"/>
      <c r="G34" s="4"/>
      <c r="H34" s="4"/>
      <c r="I34" s="12" t="s">
        <v>123</v>
      </c>
      <c r="J34" s="8" t="s">
        <v>263</v>
      </c>
      <c r="L34" s="7">
        <v>45894</v>
      </c>
      <c r="M34" s="8" t="s">
        <v>345</v>
      </c>
      <c r="N34" s="9">
        <v>4</v>
      </c>
      <c r="O34" s="49">
        <f t="shared" si="0"/>
        <v>46063</v>
      </c>
      <c r="P34" s="50">
        <f t="shared" si="1"/>
        <v>46070</v>
      </c>
      <c r="Q34" s="10">
        <v>46110</v>
      </c>
      <c r="R34" s="10">
        <v>46117</v>
      </c>
      <c r="S34" s="8" t="s">
        <v>346</v>
      </c>
      <c r="T34" s="8"/>
      <c r="U34" s="8" t="s">
        <v>347</v>
      </c>
      <c r="V34" s="51" t="s">
        <v>348</v>
      </c>
      <c r="W34" s="11" t="s">
        <v>349</v>
      </c>
      <c r="X34" s="12" t="s">
        <v>350</v>
      </c>
      <c r="Y34" s="12" t="s">
        <v>351</v>
      </c>
      <c r="Z34" s="12" t="s">
        <v>212</v>
      </c>
      <c r="AA34" s="13">
        <v>95125</v>
      </c>
      <c r="AB34" s="52" t="s">
        <v>64</v>
      </c>
      <c r="AD34" s="12" t="s">
        <v>65</v>
      </c>
      <c r="AE34" s="54">
        <v>13650</v>
      </c>
      <c r="AF34" s="62">
        <v>1591</v>
      </c>
      <c r="AG34" s="56">
        <f t="shared" si="2"/>
        <v>12059</v>
      </c>
      <c r="AH34" s="57">
        <v>9803.61</v>
      </c>
      <c r="AI34" s="58">
        <f t="shared" si="3"/>
        <v>3178.8347107438012</v>
      </c>
      <c r="AJ34" s="57">
        <f>1864+2171+4351+5066+81</f>
        <v>13533</v>
      </c>
      <c r="AK34" s="30">
        <v>46069</v>
      </c>
      <c r="AL34" s="57">
        <f t="shared" si="4"/>
        <v>117</v>
      </c>
      <c r="AM34" s="23">
        <v>46125</v>
      </c>
      <c r="AN34" s="5" t="s">
        <v>66</v>
      </c>
      <c r="AO34" s="5" t="s">
        <v>352</v>
      </c>
      <c r="AQ34" s="59">
        <f t="shared" si="5"/>
        <v>13650</v>
      </c>
      <c r="AR34" s="60">
        <f t="shared" si="7"/>
        <v>746779.95</v>
      </c>
      <c r="AS34" s="59">
        <f>+AI34*(1+'[1]Proforma 2026'!$AS$2)</f>
        <v>3544.4007024793382</v>
      </c>
      <c r="AT34" s="60">
        <f t="shared" si="8"/>
        <v>141597.81239669418</v>
      </c>
      <c r="AU34" s="61">
        <f t="shared" si="6"/>
        <v>45894</v>
      </c>
    </row>
    <row r="35" spans="1:47" ht="15.6" x14ac:dyDescent="0.3">
      <c r="A35" s="16" t="s">
        <v>353</v>
      </c>
      <c r="B35" s="48" t="s">
        <v>354</v>
      </c>
      <c r="C35" s="4"/>
      <c r="D35" s="4" t="s">
        <v>52</v>
      </c>
      <c r="E35" s="4"/>
      <c r="F35" s="4"/>
      <c r="G35" s="4"/>
      <c r="H35" s="4"/>
      <c r="I35" s="72" t="s">
        <v>301</v>
      </c>
      <c r="J35" s="8" t="s">
        <v>82</v>
      </c>
      <c r="L35" s="7">
        <v>45894</v>
      </c>
      <c r="M35" s="8" t="s">
        <v>355</v>
      </c>
      <c r="N35" s="9">
        <v>2</v>
      </c>
      <c r="O35" s="49">
        <f t="shared" si="0"/>
        <v>46121</v>
      </c>
      <c r="P35" s="50">
        <f t="shared" si="1"/>
        <v>46128</v>
      </c>
      <c r="Q35" s="10">
        <v>46168</v>
      </c>
      <c r="R35" s="10">
        <v>46174</v>
      </c>
      <c r="S35" s="8" t="s">
        <v>190</v>
      </c>
      <c r="T35" s="8"/>
      <c r="U35" s="8"/>
      <c r="V35" s="51"/>
      <c r="W35" s="11" t="s">
        <v>75</v>
      </c>
      <c r="X35" s="12"/>
      <c r="Z35" s="12"/>
      <c r="AA35" s="13"/>
      <c r="AD35" s="52" t="s">
        <v>356</v>
      </c>
      <c r="AE35" s="54">
        <v>11938</v>
      </c>
      <c r="AF35" s="62">
        <v>0</v>
      </c>
      <c r="AG35" s="56">
        <f t="shared" si="2"/>
        <v>11938</v>
      </c>
      <c r="AH35" s="57">
        <v>6967.61</v>
      </c>
      <c r="AI35" s="58">
        <f t="shared" si="3"/>
        <v>4107.7603305785124</v>
      </c>
      <c r="AJ35" s="57">
        <f>300+3581.4</f>
        <v>3881.4</v>
      </c>
      <c r="AK35" s="30">
        <v>45966</v>
      </c>
      <c r="AL35" s="57">
        <f t="shared" si="4"/>
        <v>8056.6</v>
      </c>
      <c r="AM35" s="23">
        <v>46132</v>
      </c>
      <c r="AN35" s="5" t="s">
        <v>66</v>
      </c>
      <c r="AO35" s="5" t="s">
        <v>91</v>
      </c>
      <c r="AQ35" s="59">
        <f t="shared" si="5"/>
        <v>11938</v>
      </c>
      <c r="AR35" s="60">
        <f t="shared" si="7"/>
        <v>758717.95</v>
      </c>
      <c r="AS35" s="59">
        <f>+AI35*(1+'[1]Proforma 2026'!$AS$2)</f>
        <v>4580.1527685950414</v>
      </c>
      <c r="AT35" s="60">
        <f t="shared" si="8"/>
        <v>146177.96516528921</v>
      </c>
      <c r="AU35" s="61">
        <f t="shared" si="6"/>
        <v>45894</v>
      </c>
    </row>
    <row r="36" spans="1:47" ht="15.6" x14ac:dyDescent="0.3">
      <c r="A36" s="16" t="s">
        <v>357</v>
      </c>
      <c r="B36" s="48" t="s">
        <v>358</v>
      </c>
      <c r="C36" s="4"/>
      <c r="D36" s="4" t="s">
        <v>52</v>
      </c>
      <c r="E36" s="4"/>
      <c r="F36" s="4"/>
      <c r="G36" s="4"/>
      <c r="H36" s="4"/>
      <c r="I36" s="12" t="s">
        <v>70</v>
      </c>
      <c r="J36" s="12" t="s">
        <v>231</v>
      </c>
      <c r="K36" s="6"/>
      <c r="L36" s="7">
        <v>45896</v>
      </c>
      <c r="M36" s="8" t="s">
        <v>359</v>
      </c>
      <c r="N36" s="9">
        <v>2</v>
      </c>
      <c r="O36" s="49">
        <f t="shared" si="0"/>
        <v>46117</v>
      </c>
      <c r="P36" s="50">
        <f t="shared" si="1"/>
        <v>46124</v>
      </c>
      <c r="Q36" s="10">
        <v>46164</v>
      </c>
      <c r="R36" s="10">
        <v>46172</v>
      </c>
      <c r="S36" s="8" t="s">
        <v>360</v>
      </c>
      <c r="T36" s="8"/>
      <c r="U36" s="8" t="s">
        <v>361</v>
      </c>
      <c r="V36" s="51" t="s">
        <v>362</v>
      </c>
      <c r="W36" s="11" t="s">
        <v>363</v>
      </c>
      <c r="X36" s="12" t="s">
        <v>364</v>
      </c>
      <c r="Y36" s="73" t="s">
        <v>365</v>
      </c>
      <c r="Z36" s="12" t="s">
        <v>366</v>
      </c>
      <c r="AA36" s="13">
        <v>6706</v>
      </c>
      <c r="AB36" s="52" t="s">
        <v>64</v>
      </c>
      <c r="AD36" s="12" t="s">
        <v>65</v>
      </c>
      <c r="AE36" s="54">
        <v>7851</v>
      </c>
      <c r="AF36" s="62">
        <v>926</v>
      </c>
      <c r="AG36" s="56">
        <f t="shared" si="2"/>
        <v>6925</v>
      </c>
      <c r="AH36" s="57">
        <v>6525.03</v>
      </c>
      <c r="AI36" s="58">
        <f t="shared" si="3"/>
        <v>1095.8429752066118</v>
      </c>
      <c r="AJ36" s="57">
        <f>2264.1</f>
        <v>2264.1</v>
      </c>
      <c r="AK36" s="30">
        <v>46132</v>
      </c>
      <c r="AL36" s="57">
        <f t="shared" si="4"/>
        <v>5586.9</v>
      </c>
      <c r="AM36" s="23">
        <v>46132</v>
      </c>
      <c r="AN36" s="5" t="s">
        <v>66</v>
      </c>
      <c r="AO36" s="5" t="s">
        <v>91</v>
      </c>
      <c r="AQ36" s="59">
        <f t="shared" si="5"/>
        <v>7851</v>
      </c>
      <c r="AR36" s="60">
        <f t="shared" si="7"/>
        <v>766568.95</v>
      </c>
      <c r="AS36" s="59">
        <f>+AI36*(1+'[1]Proforma 2026'!$AS$2)</f>
        <v>1221.8649173553722</v>
      </c>
      <c r="AT36" s="60">
        <f t="shared" si="8"/>
        <v>147399.83008264459</v>
      </c>
      <c r="AU36" s="61">
        <f t="shared" si="6"/>
        <v>45896</v>
      </c>
    </row>
    <row r="37" spans="1:47" ht="15.6" x14ac:dyDescent="0.3">
      <c r="A37" s="16" t="s">
        <v>367</v>
      </c>
      <c r="B37" s="48" t="s">
        <v>368</v>
      </c>
      <c r="C37" s="4"/>
      <c r="D37" s="4" t="s">
        <v>52</v>
      </c>
      <c r="E37" s="4"/>
      <c r="F37" s="4"/>
      <c r="G37" s="4"/>
      <c r="H37" s="4"/>
      <c r="I37" s="12" t="s">
        <v>301</v>
      </c>
      <c r="J37" s="12" t="s">
        <v>95</v>
      </c>
      <c r="K37" s="6"/>
      <c r="L37" s="7">
        <v>45897</v>
      </c>
      <c r="M37" s="8" t="s">
        <v>369</v>
      </c>
      <c r="N37" s="9">
        <v>4</v>
      </c>
      <c r="O37" s="49">
        <f t="shared" si="0"/>
        <v>46096</v>
      </c>
      <c r="P37" s="50">
        <f t="shared" si="1"/>
        <v>46103</v>
      </c>
      <c r="Q37" s="10">
        <v>46143</v>
      </c>
      <c r="R37" s="10">
        <v>46161</v>
      </c>
      <c r="S37" s="8" t="s">
        <v>370</v>
      </c>
      <c r="T37" s="8"/>
      <c r="U37" s="8" t="s">
        <v>371</v>
      </c>
      <c r="V37" s="51" t="s">
        <v>372</v>
      </c>
      <c r="W37" s="11" t="s">
        <v>373</v>
      </c>
      <c r="X37" s="12" t="s">
        <v>374</v>
      </c>
      <c r="Y37" s="73" t="s">
        <v>375</v>
      </c>
      <c r="Z37" s="12" t="s">
        <v>212</v>
      </c>
      <c r="AA37" s="13">
        <v>90049</v>
      </c>
      <c r="AB37" s="52" t="s">
        <v>64</v>
      </c>
      <c r="AD37" s="12" t="s">
        <v>132</v>
      </c>
      <c r="AE37" s="54">
        <v>14504</v>
      </c>
      <c r="AF37" s="62">
        <v>0</v>
      </c>
      <c r="AG37" s="56">
        <f t="shared" si="2"/>
        <v>14504</v>
      </c>
      <c r="AH37" s="57">
        <v>11084.12</v>
      </c>
      <c r="AI37" s="58">
        <f t="shared" si="3"/>
        <v>2826.3471074380159</v>
      </c>
      <c r="AJ37" s="57">
        <f>4097.6+3947.5</f>
        <v>8045.1</v>
      </c>
      <c r="AK37" s="30">
        <v>46111</v>
      </c>
      <c r="AL37" s="57">
        <f t="shared" si="4"/>
        <v>6458.9</v>
      </c>
      <c r="AM37" s="23">
        <v>46113</v>
      </c>
      <c r="AN37" s="5" t="s">
        <v>66</v>
      </c>
      <c r="AO37" s="5" t="s">
        <v>91</v>
      </c>
      <c r="AQ37" s="59">
        <f t="shared" si="5"/>
        <v>14504</v>
      </c>
      <c r="AR37" s="60">
        <f t="shared" si="7"/>
        <v>781072.95</v>
      </c>
      <c r="AS37" s="59">
        <f>+AI37*(1+'[1]Proforma 2026'!$AS$2)</f>
        <v>3151.3770247933876</v>
      </c>
      <c r="AT37" s="60">
        <f t="shared" si="8"/>
        <v>150551.20710743798</v>
      </c>
      <c r="AU37" s="61">
        <f t="shared" si="6"/>
        <v>45897</v>
      </c>
    </row>
    <row r="38" spans="1:47" ht="15.6" x14ac:dyDescent="0.3">
      <c r="A38" s="16" t="s">
        <v>376</v>
      </c>
      <c r="B38" s="48" t="s">
        <v>377</v>
      </c>
      <c r="C38" s="4"/>
      <c r="D38" s="4" t="s">
        <v>52</v>
      </c>
      <c r="E38" s="4"/>
      <c r="F38" s="4"/>
      <c r="G38" s="4"/>
      <c r="H38" s="4"/>
      <c r="I38" s="12" t="s">
        <v>123</v>
      </c>
      <c r="J38" s="12" t="s">
        <v>109</v>
      </c>
      <c r="K38" s="6"/>
      <c r="L38" s="7">
        <v>45897</v>
      </c>
      <c r="M38" s="8" t="s">
        <v>378</v>
      </c>
      <c r="N38" s="9">
        <v>2</v>
      </c>
      <c r="O38" s="49">
        <f t="shared" si="0"/>
        <v>46078</v>
      </c>
      <c r="P38" s="50">
        <f t="shared" si="1"/>
        <v>46085</v>
      </c>
      <c r="Q38" s="10">
        <v>46125</v>
      </c>
      <c r="R38" s="10">
        <v>46128</v>
      </c>
      <c r="S38" s="8" t="s">
        <v>379</v>
      </c>
      <c r="T38" s="8"/>
      <c r="U38" s="8" t="s">
        <v>380</v>
      </c>
      <c r="V38" s="51" t="s">
        <v>381</v>
      </c>
      <c r="W38" s="11">
        <v>21651136</v>
      </c>
      <c r="X38" s="12" t="s">
        <v>382</v>
      </c>
      <c r="Y38" s="73" t="s">
        <v>383</v>
      </c>
      <c r="Z38" s="12" t="s">
        <v>384</v>
      </c>
      <c r="AA38" s="13">
        <v>19970</v>
      </c>
      <c r="AB38" s="52" t="s">
        <v>64</v>
      </c>
      <c r="AD38" s="12" t="s">
        <v>65</v>
      </c>
      <c r="AE38" s="54">
        <v>8352.66</v>
      </c>
      <c r="AF38" s="62">
        <v>1314</v>
      </c>
      <c r="AG38" s="56">
        <f t="shared" si="2"/>
        <v>7038.66</v>
      </c>
      <c r="AH38" s="57">
        <v>6477.62</v>
      </c>
      <c r="AI38" s="58">
        <f t="shared" si="3"/>
        <v>1549.6198347107438</v>
      </c>
      <c r="AJ38" s="57">
        <f>2628.9+6134.1</f>
        <v>8763</v>
      </c>
      <c r="AK38" s="30">
        <v>46090</v>
      </c>
      <c r="AL38" s="57">
        <f t="shared" si="4"/>
        <v>-410.34000000000015</v>
      </c>
      <c r="AM38" s="23">
        <v>46132</v>
      </c>
      <c r="AN38" s="5" t="s">
        <v>66</v>
      </c>
      <c r="AO38" s="5" t="s">
        <v>91</v>
      </c>
      <c r="AQ38" s="59">
        <f t="shared" si="5"/>
        <v>8352.66</v>
      </c>
      <c r="AR38" s="60">
        <f t="shared" si="7"/>
        <v>789425.61</v>
      </c>
      <c r="AS38" s="59">
        <f>+AI38*(1+'[1]Proforma 2026'!$AS$2)</f>
        <v>1727.8261157024792</v>
      </c>
      <c r="AT38" s="60">
        <f t="shared" si="8"/>
        <v>152279.03322314046</v>
      </c>
      <c r="AU38" s="61">
        <f t="shared" si="6"/>
        <v>45897</v>
      </c>
    </row>
    <row r="39" spans="1:47" ht="15.6" x14ac:dyDescent="0.3">
      <c r="A39" s="16" t="s">
        <v>385</v>
      </c>
      <c r="B39" s="48" t="s">
        <v>107</v>
      </c>
      <c r="C39" s="4"/>
      <c r="D39" s="4" t="s">
        <v>52</v>
      </c>
      <c r="E39" s="4"/>
      <c r="F39" s="4"/>
      <c r="G39" s="4"/>
      <c r="H39" s="4"/>
      <c r="I39" s="12" t="s">
        <v>148</v>
      </c>
      <c r="J39" s="12" t="s">
        <v>82</v>
      </c>
      <c r="K39" s="6"/>
      <c r="L39" s="7">
        <v>45897</v>
      </c>
      <c r="M39" s="8" t="s">
        <v>386</v>
      </c>
      <c r="N39" s="9">
        <v>4</v>
      </c>
      <c r="O39" s="49">
        <f t="shared" si="0"/>
        <v>45970</v>
      </c>
      <c r="P39" s="50">
        <f t="shared" si="1"/>
        <v>45977</v>
      </c>
      <c r="Q39" s="10">
        <v>46017</v>
      </c>
      <c r="R39" s="10">
        <v>46025</v>
      </c>
      <c r="S39" s="8" t="s">
        <v>233</v>
      </c>
      <c r="T39" s="8"/>
      <c r="U39" s="8" t="s">
        <v>387</v>
      </c>
      <c r="V39" s="51" t="s">
        <v>388</v>
      </c>
      <c r="W39" s="11">
        <v>96023583</v>
      </c>
      <c r="X39" s="12" t="s">
        <v>115</v>
      </c>
      <c r="Y39" s="12" t="s">
        <v>116</v>
      </c>
      <c r="Z39" s="12"/>
      <c r="AA39" s="13" t="s">
        <v>117</v>
      </c>
      <c r="AB39" s="52" t="s">
        <v>118</v>
      </c>
      <c r="AD39" s="12" t="s">
        <v>119</v>
      </c>
      <c r="AE39" s="54">
        <v>23619</v>
      </c>
      <c r="AF39" s="62">
        <v>0</v>
      </c>
      <c r="AG39" s="56">
        <f t="shared" si="2"/>
        <v>23619</v>
      </c>
      <c r="AH39" s="57">
        <v>18510.98</v>
      </c>
      <c r="AI39" s="58">
        <f t="shared" si="3"/>
        <v>4221.5041322314055</v>
      </c>
      <c r="AJ39" s="57">
        <f>7039+16424</f>
        <v>23463</v>
      </c>
      <c r="AK39" s="30">
        <v>45980</v>
      </c>
      <c r="AL39" s="57">
        <f t="shared" si="4"/>
        <v>156</v>
      </c>
      <c r="AM39" s="23">
        <v>46014</v>
      </c>
      <c r="AN39" s="5" t="s">
        <v>66</v>
      </c>
      <c r="AO39" s="5" t="s">
        <v>389</v>
      </c>
      <c r="AQ39" s="59">
        <f t="shared" si="5"/>
        <v>23619</v>
      </c>
      <c r="AR39" s="60">
        <f t="shared" si="7"/>
        <v>813044.61</v>
      </c>
      <c r="AS39" s="59">
        <f>+AI39*(1+'[1]Proforma 2026'!$AS$2)</f>
        <v>4706.9771074380169</v>
      </c>
      <c r="AT39" s="60">
        <f t="shared" si="8"/>
        <v>156986.01033057849</v>
      </c>
      <c r="AU39" s="61">
        <f t="shared" si="6"/>
        <v>45897</v>
      </c>
    </row>
    <row r="40" spans="1:47" ht="15.6" x14ac:dyDescent="0.3">
      <c r="A40" s="16" t="s">
        <v>390</v>
      </c>
      <c r="B40" s="48" t="s">
        <v>107</v>
      </c>
      <c r="C40" s="4"/>
      <c r="D40" s="4" t="s">
        <v>52</v>
      </c>
      <c r="E40" s="4"/>
      <c r="F40" s="4"/>
      <c r="G40" s="4"/>
      <c r="H40" s="4"/>
      <c r="I40" s="12" t="s">
        <v>148</v>
      </c>
      <c r="J40" s="12" t="s">
        <v>109</v>
      </c>
      <c r="K40" s="6"/>
      <c r="L40" s="7">
        <v>45898</v>
      </c>
      <c r="M40" s="8" t="s">
        <v>391</v>
      </c>
      <c r="N40" s="9">
        <v>2</v>
      </c>
      <c r="O40" s="49">
        <f t="shared" si="0"/>
        <v>46111</v>
      </c>
      <c r="P40" s="50">
        <f t="shared" si="1"/>
        <v>46118</v>
      </c>
      <c r="Q40" s="10">
        <v>46158</v>
      </c>
      <c r="R40" s="10">
        <v>46173</v>
      </c>
      <c r="S40" s="8" t="s">
        <v>233</v>
      </c>
      <c r="T40" s="8"/>
      <c r="U40" s="8" t="s">
        <v>216</v>
      </c>
      <c r="V40" s="51" t="s">
        <v>217</v>
      </c>
      <c r="W40" s="11">
        <v>96023583</v>
      </c>
      <c r="X40" s="12" t="s">
        <v>115</v>
      </c>
      <c r="Y40" s="12" t="s">
        <v>116</v>
      </c>
      <c r="Z40" s="12"/>
      <c r="AA40" s="13" t="s">
        <v>117</v>
      </c>
      <c r="AB40" s="52" t="s">
        <v>118</v>
      </c>
      <c r="AD40" s="12" t="s">
        <v>119</v>
      </c>
      <c r="AE40" s="54">
        <v>25348</v>
      </c>
      <c r="AF40" s="62">
        <v>0</v>
      </c>
      <c r="AG40" s="56">
        <f t="shared" si="2"/>
        <v>25348</v>
      </c>
      <c r="AH40" s="57">
        <v>19322.12</v>
      </c>
      <c r="AI40" s="58">
        <f t="shared" si="3"/>
        <v>4980.0661157024806</v>
      </c>
      <c r="AJ40" s="57">
        <f>6378+15066</f>
        <v>21444</v>
      </c>
      <c r="AK40" s="30">
        <v>46127</v>
      </c>
      <c r="AL40" s="64">
        <f t="shared" si="4"/>
        <v>3904</v>
      </c>
      <c r="AM40" s="32">
        <v>46202</v>
      </c>
      <c r="AN40" s="29" t="s">
        <v>66</v>
      </c>
      <c r="AO40" s="29" t="s">
        <v>352</v>
      </c>
      <c r="AQ40" s="59">
        <f t="shared" si="5"/>
        <v>25348</v>
      </c>
      <c r="AR40" s="60">
        <f t="shared" si="7"/>
        <v>838392.61</v>
      </c>
      <c r="AS40" s="59">
        <f>+AI40*(1+'[1]Proforma 2026'!$AS$2)</f>
        <v>5552.7737190082662</v>
      </c>
      <c r="AT40" s="60">
        <f t="shared" si="8"/>
        <v>162538.78404958674</v>
      </c>
      <c r="AU40" s="61">
        <f t="shared" si="6"/>
        <v>45898</v>
      </c>
    </row>
    <row r="41" spans="1:47" ht="15.6" x14ac:dyDescent="0.3">
      <c r="A41" s="16" t="s">
        <v>392</v>
      </c>
      <c r="B41" s="48">
        <v>37154</v>
      </c>
      <c r="C41" s="4"/>
      <c r="D41" s="4" t="s">
        <v>52</v>
      </c>
      <c r="E41" s="4"/>
      <c r="F41" s="4"/>
      <c r="G41" s="4"/>
      <c r="H41" s="4"/>
      <c r="I41" s="12" t="s">
        <v>108</v>
      </c>
      <c r="J41" s="12" t="s">
        <v>330</v>
      </c>
      <c r="L41" s="7">
        <v>45898</v>
      </c>
      <c r="M41" s="8" t="s">
        <v>393</v>
      </c>
      <c r="N41" s="9">
        <v>2</v>
      </c>
      <c r="O41" s="49">
        <f t="shared" si="0"/>
        <v>46109</v>
      </c>
      <c r="P41" s="50">
        <f t="shared" si="1"/>
        <v>46116</v>
      </c>
      <c r="Q41" s="10">
        <v>46156</v>
      </c>
      <c r="R41" s="10">
        <v>46160</v>
      </c>
      <c r="S41" s="8" t="s">
        <v>190</v>
      </c>
      <c r="T41" s="8"/>
      <c r="U41" s="8" t="s">
        <v>394</v>
      </c>
      <c r="V41" s="51" t="s">
        <v>395</v>
      </c>
      <c r="W41" s="11" t="s">
        <v>75</v>
      </c>
      <c r="X41" s="12" t="s">
        <v>75</v>
      </c>
      <c r="Y41" s="73" t="s">
        <v>75</v>
      </c>
      <c r="Z41" s="12"/>
      <c r="AA41" s="13"/>
      <c r="AB41" s="52" t="s">
        <v>64</v>
      </c>
      <c r="AD41" s="52" t="s">
        <v>76</v>
      </c>
      <c r="AE41" s="54">
        <v>9457</v>
      </c>
      <c r="AF41" s="62">
        <v>0</v>
      </c>
      <c r="AG41" s="56">
        <f t="shared" si="2"/>
        <v>9457</v>
      </c>
      <c r="AH41" s="57">
        <v>6367.16</v>
      </c>
      <c r="AI41" s="58">
        <f t="shared" si="3"/>
        <v>2553.5867768595044</v>
      </c>
      <c r="AJ41" s="57">
        <f>300+2648.4+5879.6</f>
        <v>8828</v>
      </c>
      <c r="AK41" s="74">
        <v>46119</v>
      </c>
      <c r="AL41" s="57">
        <f t="shared" si="4"/>
        <v>629</v>
      </c>
      <c r="AM41" s="23">
        <v>46134</v>
      </c>
      <c r="AN41" s="5" t="s">
        <v>66</v>
      </c>
      <c r="AO41" s="5" t="s">
        <v>91</v>
      </c>
      <c r="AQ41" s="59">
        <f t="shared" si="5"/>
        <v>9457</v>
      </c>
      <c r="AR41" s="60">
        <f t="shared" si="7"/>
        <v>847849.61</v>
      </c>
      <c r="AS41" s="59">
        <f>+AI41*(1+'[1]Proforma 2026'!$AS$2)</f>
        <v>2847.2492561983472</v>
      </c>
      <c r="AT41" s="60">
        <f t="shared" si="8"/>
        <v>165386.03330578509</v>
      </c>
      <c r="AU41" s="61">
        <f t="shared" si="6"/>
        <v>45898</v>
      </c>
    </row>
    <row r="42" spans="1:47" ht="15.6" x14ac:dyDescent="0.3">
      <c r="A42" s="16" t="s">
        <v>396</v>
      </c>
      <c r="B42" s="48" t="s">
        <v>397</v>
      </c>
      <c r="C42" s="4"/>
      <c r="D42" s="4" t="s">
        <v>52</v>
      </c>
      <c r="E42" s="4"/>
      <c r="F42" s="4"/>
      <c r="G42" s="4"/>
      <c r="H42" s="4"/>
      <c r="I42" s="12" t="s">
        <v>108</v>
      </c>
      <c r="J42" s="12" t="s">
        <v>330</v>
      </c>
      <c r="L42" s="7">
        <v>45898</v>
      </c>
      <c r="M42" s="8" t="s">
        <v>398</v>
      </c>
      <c r="N42" s="9">
        <v>4</v>
      </c>
      <c r="O42" s="49">
        <f t="shared" si="0"/>
        <v>46097</v>
      </c>
      <c r="P42" s="50">
        <f t="shared" si="1"/>
        <v>46104</v>
      </c>
      <c r="Q42" s="10">
        <v>46144</v>
      </c>
      <c r="R42" s="10">
        <v>46157</v>
      </c>
      <c r="S42" s="8" t="s">
        <v>399</v>
      </c>
      <c r="T42" s="8" t="s">
        <v>400</v>
      </c>
      <c r="U42" s="8" t="s">
        <v>401</v>
      </c>
      <c r="V42" s="51" t="s">
        <v>402</v>
      </c>
      <c r="W42" s="11" t="s">
        <v>339</v>
      </c>
      <c r="X42" s="12" t="s">
        <v>403</v>
      </c>
      <c r="Y42" s="12" t="s">
        <v>404</v>
      </c>
      <c r="Z42" s="12" t="s">
        <v>212</v>
      </c>
      <c r="AA42" s="13">
        <v>90266</v>
      </c>
      <c r="AB42" s="52" t="s">
        <v>64</v>
      </c>
      <c r="AD42" s="12" t="s">
        <v>132</v>
      </c>
      <c r="AE42" s="54">
        <v>39369</v>
      </c>
      <c r="AF42" s="62">
        <v>5982</v>
      </c>
      <c r="AG42" s="56">
        <f t="shared" si="2"/>
        <v>33387</v>
      </c>
      <c r="AH42" s="57">
        <v>30343.64</v>
      </c>
      <c r="AI42" s="58">
        <f t="shared" si="3"/>
        <v>7458.9752066115707</v>
      </c>
      <c r="AJ42" s="57">
        <v>11810.7</v>
      </c>
      <c r="AK42" s="30">
        <v>45902</v>
      </c>
      <c r="AL42" s="57">
        <f t="shared" si="4"/>
        <v>27558.3</v>
      </c>
      <c r="AM42" s="23">
        <v>46119</v>
      </c>
      <c r="AN42" s="5" t="s">
        <v>66</v>
      </c>
      <c r="AO42" s="5" t="s">
        <v>91</v>
      </c>
      <c r="AQ42" s="59">
        <f t="shared" si="5"/>
        <v>39369</v>
      </c>
      <c r="AR42" s="60">
        <f t="shared" si="7"/>
        <v>887218.61</v>
      </c>
      <c r="AS42" s="59">
        <f>+AI42*(1+'[1]Proforma 2026'!$AS$2)</f>
        <v>8316.7573553719012</v>
      </c>
      <c r="AT42" s="60">
        <f t="shared" si="8"/>
        <v>173702.79066115699</v>
      </c>
      <c r="AU42" s="61">
        <f t="shared" si="6"/>
        <v>45898</v>
      </c>
    </row>
    <row r="43" spans="1:47" ht="15.6" x14ac:dyDescent="0.3">
      <c r="A43" s="16" t="s">
        <v>405</v>
      </c>
      <c r="B43" s="48" t="s">
        <v>406</v>
      </c>
      <c r="C43" s="4"/>
      <c r="D43" s="4" t="s">
        <v>52</v>
      </c>
      <c r="E43" s="4"/>
      <c r="F43" s="4"/>
      <c r="G43" s="4"/>
      <c r="H43" s="4"/>
      <c r="I43" s="12" t="s">
        <v>70</v>
      </c>
      <c r="J43" s="12" t="s">
        <v>136</v>
      </c>
      <c r="L43" s="7">
        <v>45898</v>
      </c>
      <c r="M43" s="8" t="s">
        <v>407</v>
      </c>
      <c r="N43" s="9">
        <v>2</v>
      </c>
      <c r="O43" s="49">
        <f t="shared" si="0"/>
        <v>46032</v>
      </c>
      <c r="P43" s="50">
        <f t="shared" si="1"/>
        <v>46039</v>
      </c>
      <c r="Q43" s="10">
        <v>46079</v>
      </c>
      <c r="R43" s="10">
        <v>46095</v>
      </c>
      <c r="S43" s="8" t="s">
        <v>408</v>
      </c>
      <c r="T43" s="8"/>
      <c r="U43" s="8" t="s">
        <v>409</v>
      </c>
      <c r="V43" s="51" t="s">
        <v>410</v>
      </c>
      <c r="W43" s="11">
        <v>67682543</v>
      </c>
      <c r="X43" s="12" t="s">
        <v>411</v>
      </c>
      <c r="Y43" s="12" t="s">
        <v>412</v>
      </c>
      <c r="Z43" s="12"/>
      <c r="AA43" s="13" t="s">
        <v>413</v>
      </c>
      <c r="AB43" s="52" t="s">
        <v>278</v>
      </c>
      <c r="AD43" s="12" t="s">
        <v>279</v>
      </c>
      <c r="AE43" s="54">
        <v>41963</v>
      </c>
      <c r="AF43" s="62">
        <v>5036</v>
      </c>
      <c r="AG43" s="56">
        <f t="shared" si="2"/>
        <v>36927</v>
      </c>
      <c r="AH43" s="57">
        <v>32698.79</v>
      </c>
      <c r="AI43" s="58">
        <f t="shared" si="3"/>
        <v>7656.3719008264461</v>
      </c>
      <c r="AJ43" s="57">
        <v>12588.9</v>
      </c>
      <c r="AK43" s="30">
        <v>45903</v>
      </c>
      <c r="AL43" s="57">
        <f t="shared" si="4"/>
        <v>29374.1</v>
      </c>
      <c r="AM43" s="23">
        <v>46035</v>
      </c>
      <c r="AN43" s="5" t="s">
        <v>66</v>
      </c>
      <c r="AO43" s="29" t="s">
        <v>77</v>
      </c>
      <c r="AQ43" s="59">
        <f t="shared" si="5"/>
        <v>41963</v>
      </c>
      <c r="AR43" s="55">
        <f t="shared" si="7"/>
        <v>929181.61</v>
      </c>
      <c r="AS43" s="59">
        <f>+AI43*(1+'[1]Proforma 2026'!$AS$2)</f>
        <v>8536.8546694214874</v>
      </c>
      <c r="AT43" s="60">
        <f t="shared" si="8"/>
        <v>182239.64533057847</v>
      </c>
      <c r="AU43" s="61">
        <f t="shared" si="6"/>
        <v>45898</v>
      </c>
    </row>
    <row r="44" spans="1:47" ht="15.6" x14ac:dyDescent="0.3">
      <c r="A44" s="16" t="s">
        <v>414</v>
      </c>
      <c r="B44" s="48" t="s">
        <v>415</v>
      </c>
      <c r="C44" s="4"/>
      <c r="D44" s="4"/>
      <c r="E44" s="4" t="s">
        <v>52</v>
      </c>
      <c r="F44" s="4"/>
      <c r="G44" s="4"/>
      <c r="H44" s="4"/>
      <c r="I44" s="12" t="s">
        <v>301</v>
      </c>
      <c r="J44" s="12" t="s">
        <v>95</v>
      </c>
      <c r="L44" s="7">
        <v>45901</v>
      </c>
      <c r="M44" s="8" t="s">
        <v>416</v>
      </c>
      <c r="N44" s="9">
        <v>2</v>
      </c>
      <c r="O44" s="49">
        <f t="shared" si="0"/>
        <v>46084</v>
      </c>
      <c r="P44" s="50">
        <f t="shared" si="1"/>
        <v>46091</v>
      </c>
      <c r="Q44" s="10">
        <v>46131</v>
      </c>
      <c r="R44" s="10">
        <v>46133</v>
      </c>
      <c r="S44" s="8" t="s">
        <v>417</v>
      </c>
      <c r="T44" s="8"/>
      <c r="U44" s="8" t="s">
        <v>418</v>
      </c>
      <c r="V44" s="51" t="s">
        <v>419</v>
      </c>
      <c r="W44" s="11">
        <v>36747830</v>
      </c>
      <c r="X44" s="12" t="s">
        <v>420</v>
      </c>
      <c r="Y44" s="12" t="s">
        <v>227</v>
      </c>
      <c r="Z44" s="12" t="s">
        <v>228</v>
      </c>
      <c r="AA44" s="13">
        <v>45209</v>
      </c>
      <c r="AB44" s="52" t="s">
        <v>64</v>
      </c>
      <c r="AD44" s="12" t="s">
        <v>65</v>
      </c>
      <c r="AE44" s="54">
        <v>7191.5</v>
      </c>
      <c r="AF44" s="62">
        <v>1078</v>
      </c>
      <c r="AG44" s="56">
        <f t="shared" si="2"/>
        <v>6113.5</v>
      </c>
      <c r="AH44" s="57">
        <v>5540.5</v>
      </c>
      <c r="AI44" s="58">
        <f t="shared" si="3"/>
        <v>1364.4628099173553</v>
      </c>
      <c r="AJ44" s="57">
        <v>2080.5</v>
      </c>
      <c r="AK44" s="30">
        <v>45903</v>
      </c>
      <c r="AL44" s="64">
        <f t="shared" si="4"/>
        <v>5111</v>
      </c>
      <c r="AM44" s="32">
        <v>46083</v>
      </c>
      <c r="AN44" s="29" t="s">
        <v>66</v>
      </c>
      <c r="AO44" s="5" t="s">
        <v>91</v>
      </c>
      <c r="AQ44" s="59">
        <f t="shared" si="5"/>
        <v>7191.5</v>
      </c>
      <c r="AR44" s="60">
        <f t="shared" si="7"/>
        <v>936373.11</v>
      </c>
      <c r="AS44" s="59">
        <f>+AI44*(1+'[1]Proforma 2026'!$AS$2)</f>
        <v>1521.3760330578511</v>
      </c>
      <c r="AT44" s="60">
        <f t="shared" si="8"/>
        <v>183761.0213636363</v>
      </c>
      <c r="AU44" s="61">
        <f t="shared" si="6"/>
        <v>45901</v>
      </c>
    </row>
    <row r="45" spans="1:47" ht="15.6" x14ac:dyDescent="0.3">
      <c r="A45" s="16" t="s">
        <v>421</v>
      </c>
      <c r="B45" s="48">
        <v>36374</v>
      </c>
      <c r="C45" s="4"/>
      <c r="D45" s="4"/>
      <c r="E45" s="4" t="s">
        <v>52</v>
      </c>
      <c r="F45" s="4"/>
      <c r="G45" s="4"/>
      <c r="H45" s="4"/>
      <c r="I45" s="12" t="s">
        <v>123</v>
      </c>
      <c r="J45" s="12" t="s">
        <v>282</v>
      </c>
      <c r="L45" s="7">
        <v>45901</v>
      </c>
      <c r="M45" s="8" t="s">
        <v>422</v>
      </c>
      <c r="N45" s="9">
        <v>4</v>
      </c>
      <c r="O45" s="49">
        <f t="shared" si="0"/>
        <v>46114</v>
      </c>
      <c r="P45" s="50">
        <f t="shared" si="1"/>
        <v>46121</v>
      </c>
      <c r="Q45" s="10">
        <v>46161</v>
      </c>
      <c r="R45" s="10">
        <v>46175</v>
      </c>
      <c r="S45" s="8" t="s">
        <v>423</v>
      </c>
      <c r="T45" s="8"/>
      <c r="U45" s="8" t="s">
        <v>424</v>
      </c>
      <c r="V45" s="51" t="s">
        <v>425</v>
      </c>
      <c r="W45" s="11" t="s">
        <v>426</v>
      </c>
      <c r="X45" s="12" t="s">
        <v>427</v>
      </c>
      <c r="Y45" s="12" t="s">
        <v>428</v>
      </c>
      <c r="Z45" s="12" t="s">
        <v>429</v>
      </c>
      <c r="AA45" s="13">
        <v>99522</v>
      </c>
      <c r="AB45" s="52" t="s">
        <v>64</v>
      </c>
      <c r="AD45" s="12" t="s">
        <v>119</v>
      </c>
      <c r="AE45" s="54">
        <v>5310</v>
      </c>
      <c r="AF45" s="62">
        <v>0</v>
      </c>
      <c r="AG45" s="56">
        <f t="shared" si="2"/>
        <v>5310</v>
      </c>
      <c r="AH45" s="57">
        <v>3615.33</v>
      </c>
      <c r="AI45" s="58">
        <f t="shared" si="3"/>
        <v>1400.5537190082646</v>
      </c>
      <c r="AJ45" s="57">
        <f>400+1593</f>
        <v>1993</v>
      </c>
      <c r="AK45" s="30">
        <v>45903</v>
      </c>
      <c r="AL45" s="64">
        <f t="shared" si="4"/>
        <v>3317</v>
      </c>
      <c r="AM45" s="32">
        <v>46083</v>
      </c>
      <c r="AN45" s="29" t="s">
        <v>66</v>
      </c>
      <c r="AO45" s="5" t="s">
        <v>91</v>
      </c>
      <c r="AQ45" s="59">
        <f t="shared" si="5"/>
        <v>5310</v>
      </c>
      <c r="AR45" s="60">
        <f t="shared" si="7"/>
        <v>941683.11</v>
      </c>
      <c r="AS45" s="59">
        <f>+AI45*(1+'[1]Proforma 2026'!$AS$2)</f>
        <v>1561.6173966942149</v>
      </c>
      <c r="AT45" s="60">
        <f t="shared" si="8"/>
        <v>185322.6387603305</v>
      </c>
      <c r="AU45" s="61">
        <f t="shared" si="6"/>
        <v>45901</v>
      </c>
    </row>
    <row r="46" spans="1:47" ht="15.6" x14ac:dyDescent="0.3">
      <c r="A46" s="16" t="s">
        <v>430</v>
      </c>
      <c r="B46" s="48">
        <v>37155</v>
      </c>
      <c r="C46" s="4"/>
      <c r="D46" s="4" t="s">
        <v>52</v>
      </c>
      <c r="E46" s="4"/>
      <c r="F46" s="4"/>
      <c r="G46" s="4"/>
      <c r="H46" s="4"/>
      <c r="I46" s="12" t="s">
        <v>70</v>
      </c>
      <c r="J46" s="12" t="s">
        <v>136</v>
      </c>
      <c r="L46" s="7">
        <v>45904</v>
      </c>
      <c r="M46" s="8" t="s">
        <v>431</v>
      </c>
      <c r="N46" s="9">
        <v>1</v>
      </c>
      <c r="O46" s="49">
        <f t="shared" si="0"/>
        <v>46106</v>
      </c>
      <c r="P46" s="50">
        <f t="shared" si="1"/>
        <v>46113</v>
      </c>
      <c r="Q46" s="10">
        <v>46153</v>
      </c>
      <c r="R46" s="10">
        <v>46177</v>
      </c>
      <c r="S46" s="8" t="s">
        <v>190</v>
      </c>
      <c r="T46" s="8"/>
      <c r="U46" s="8"/>
      <c r="V46" s="51"/>
      <c r="W46" s="11" t="s">
        <v>75</v>
      </c>
      <c r="X46" s="12"/>
      <c r="Y46" s="12"/>
      <c r="Z46" s="12"/>
      <c r="AA46" s="13"/>
      <c r="AB46" s="52"/>
      <c r="AD46" s="52" t="s">
        <v>191</v>
      </c>
      <c r="AE46" s="54">
        <v>38096</v>
      </c>
      <c r="AF46" s="55">
        <v>1905</v>
      </c>
      <c r="AG46" s="56">
        <f t="shared" si="2"/>
        <v>36191</v>
      </c>
      <c r="AH46" s="57">
        <v>25755.23</v>
      </c>
      <c r="AI46" s="58">
        <f t="shared" si="3"/>
        <v>10198.983471074382</v>
      </c>
      <c r="AJ46" s="57">
        <f>300+11428.8+13183.6</f>
        <v>24912.400000000001</v>
      </c>
      <c r="AK46" s="74">
        <v>46125</v>
      </c>
      <c r="AL46" s="57">
        <f t="shared" si="4"/>
        <v>13183.599999999999</v>
      </c>
      <c r="AM46" s="23">
        <v>46125</v>
      </c>
      <c r="AN46" s="5" t="s">
        <v>66</v>
      </c>
      <c r="AO46" s="5" t="s">
        <v>91</v>
      </c>
      <c r="AQ46" s="59">
        <f t="shared" si="5"/>
        <v>38096</v>
      </c>
      <c r="AR46" s="60">
        <f t="shared" si="7"/>
        <v>979779.11</v>
      </c>
      <c r="AS46" s="59">
        <f>+AI46*(1+'[1]Proforma 2026'!$AS$2)</f>
        <v>11371.866570247936</v>
      </c>
      <c r="AT46" s="60">
        <f t="shared" si="8"/>
        <v>196694.50533057845</v>
      </c>
      <c r="AU46" s="61">
        <f t="shared" si="6"/>
        <v>45904</v>
      </c>
    </row>
    <row r="47" spans="1:47" ht="15.6" x14ac:dyDescent="0.3">
      <c r="A47" s="16" t="s">
        <v>432</v>
      </c>
      <c r="B47" s="48">
        <v>36438</v>
      </c>
      <c r="C47" s="4"/>
      <c r="D47" s="4" t="s">
        <v>52</v>
      </c>
      <c r="E47" s="4"/>
      <c r="F47" s="4"/>
      <c r="G47" s="4"/>
      <c r="H47" s="4"/>
      <c r="I47" s="12"/>
      <c r="J47" s="12" t="s">
        <v>124</v>
      </c>
      <c r="K47" s="6"/>
      <c r="L47" s="7">
        <v>45904</v>
      </c>
      <c r="M47" s="8" t="s">
        <v>433</v>
      </c>
      <c r="N47" s="9">
        <v>3</v>
      </c>
      <c r="O47" s="49">
        <f t="shared" si="0"/>
        <v>46191</v>
      </c>
      <c r="P47" s="50">
        <f t="shared" si="1"/>
        <v>46198</v>
      </c>
      <c r="Q47" s="10">
        <v>46238</v>
      </c>
      <c r="R47" s="10">
        <v>46247</v>
      </c>
      <c r="S47" s="8" t="s">
        <v>434</v>
      </c>
      <c r="T47" s="8"/>
      <c r="U47" s="8" t="s">
        <v>435</v>
      </c>
      <c r="V47" s="51" t="s">
        <v>436</v>
      </c>
      <c r="W47" s="11" t="s">
        <v>75</v>
      </c>
      <c r="X47" s="12" t="s">
        <v>437</v>
      </c>
      <c r="Y47" s="12" t="s">
        <v>438</v>
      </c>
      <c r="Z47" s="12"/>
      <c r="AA47" s="13" t="s">
        <v>439</v>
      </c>
      <c r="AB47" s="52" t="s">
        <v>440</v>
      </c>
      <c r="AD47" s="12" t="s">
        <v>441</v>
      </c>
      <c r="AE47" s="54">
        <v>26310</v>
      </c>
      <c r="AF47" s="55">
        <v>1324</v>
      </c>
      <c r="AG47" s="56">
        <f t="shared" si="2"/>
        <v>24986</v>
      </c>
      <c r="AH47" s="57">
        <v>19801.669999999998</v>
      </c>
      <c r="AI47" s="58">
        <f t="shared" si="3"/>
        <v>5378.7851239669435</v>
      </c>
      <c r="AJ47" s="57">
        <f>300+6531+6531+6531+1892+1892</f>
        <v>23677</v>
      </c>
      <c r="AK47" s="74">
        <v>46109</v>
      </c>
      <c r="AL47" s="57">
        <f t="shared" si="4"/>
        <v>2633</v>
      </c>
      <c r="AM47" s="23">
        <v>46181</v>
      </c>
      <c r="AN47" s="5" t="s">
        <v>66</v>
      </c>
      <c r="AO47" s="5" t="s">
        <v>91</v>
      </c>
      <c r="AQ47" s="59">
        <f t="shared" si="5"/>
        <v>26310</v>
      </c>
      <c r="AR47" s="60">
        <f t="shared" si="7"/>
        <v>1006089.11</v>
      </c>
      <c r="AS47" s="59">
        <f>+AI47*(1+'[1]Proforma 2026'!$AS$2)</f>
        <v>5997.3454132231418</v>
      </c>
      <c r="AT47" s="60">
        <f t="shared" si="8"/>
        <v>202691.85074380159</v>
      </c>
      <c r="AU47" s="61">
        <f t="shared" si="6"/>
        <v>45904</v>
      </c>
    </row>
    <row r="48" spans="1:47" ht="15.6" x14ac:dyDescent="0.3">
      <c r="A48" s="16" t="s">
        <v>442</v>
      </c>
      <c r="B48" s="48">
        <v>37163</v>
      </c>
      <c r="C48" s="4"/>
      <c r="D48" s="4" t="s">
        <v>52</v>
      </c>
      <c r="E48" s="4"/>
      <c r="F48" s="4"/>
      <c r="G48" s="4"/>
      <c r="H48" s="4"/>
      <c r="I48" s="12"/>
      <c r="J48" s="12" t="s">
        <v>330</v>
      </c>
      <c r="K48" s="6"/>
      <c r="L48" s="7">
        <v>45905</v>
      </c>
      <c r="M48" s="75" t="s">
        <v>443</v>
      </c>
      <c r="N48" s="9">
        <v>4</v>
      </c>
      <c r="O48" s="49">
        <f t="shared" si="0"/>
        <v>46041</v>
      </c>
      <c r="P48" s="50">
        <f t="shared" si="1"/>
        <v>46048</v>
      </c>
      <c r="Q48" s="10">
        <v>46088</v>
      </c>
      <c r="R48" s="10">
        <v>46088</v>
      </c>
      <c r="S48" s="8" t="s">
        <v>190</v>
      </c>
      <c r="T48" s="8"/>
      <c r="U48" s="8"/>
      <c r="V48" s="51"/>
      <c r="W48" s="11" t="s">
        <v>75</v>
      </c>
      <c r="X48" s="12"/>
      <c r="Y48" s="12"/>
      <c r="Z48" s="12"/>
      <c r="AA48" s="13"/>
      <c r="AB48" s="52"/>
      <c r="AD48" s="52" t="s">
        <v>191</v>
      </c>
      <c r="AE48" s="54">
        <v>300</v>
      </c>
      <c r="AF48" s="55">
        <v>0</v>
      </c>
      <c r="AG48" s="56">
        <f t="shared" si="2"/>
        <v>300</v>
      </c>
      <c r="AH48" s="57"/>
      <c r="AI48" s="58">
        <f t="shared" si="3"/>
        <v>247.93388429752068</v>
      </c>
      <c r="AJ48" s="57"/>
      <c r="AK48" s="76"/>
      <c r="AL48" s="57">
        <f t="shared" si="4"/>
        <v>300</v>
      </c>
      <c r="AM48" s="23">
        <v>45905</v>
      </c>
      <c r="AN48" s="5" t="s">
        <v>66</v>
      </c>
      <c r="AO48" s="29" t="s">
        <v>77</v>
      </c>
      <c r="AQ48" s="59">
        <f t="shared" si="5"/>
        <v>300</v>
      </c>
      <c r="AR48" s="60">
        <f t="shared" si="7"/>
        <v>1006389.11</v>
      </c>
      <c r="AS48" s="59">
        <f>+AI48*(1+'[1]Proforma 2026'!$AS$2)</f>
        <v>276.44628099173553</v>
      </c>
      <c r="AT48" s="60">
        <f t="shared" si="8"/>
        <v>202968.29702479334</v>
      </c>
      <c r="AU48" s="61">
        <f t="shared" si="6"/>
        <v>45905</v>
      </c>
    </row>
    <row r="49" spans="1:47" ht="15.6" x14ac:dyDescent="0.3">
      <c r="A49" s="16" t="s">
        <v>444</v>
      </c>
      <c r="B49" s="48" t="s">
        <v>445</v>
      </c>
      <c r="C49" s="4"/>
      <c r="D49" s="4" t="s">
        <v>52</v>
      </c>
      <c r="E49" s="4"/>
      <c r="F49" s="4"/>
      <c r="G49" s="4"/>
      <c r="H49" s="4"/>
      <c r="I49" s="12" t="s">
        <v>163</v>
      </c>
      <c r="J49" s="12" t="s">
        <v>163</v>
      </c>
      <c r="K49" s="6"/>
      <c r="L49" s="7">
        <v>45908</v>
      </c>
      <c r="M49" s="8" t="s">
        <v>446</v>
      </c>
      <c r="N49" s="9">
        <v>4</v>
      </c>
      <c r="O49" s="49">
        <f t="shared" si="0"/>
        <v>46052</v>
      </c>
      <c r="P49" s="50">
        <f t="shared" si="1"/>
        <v>46059</v>
      </c>
      <c r="Q49" s="10">
        <v>46099</v>
      </c>
      <c r="R49" s="10">
        <v>46102</v>
      </c>
      <c r="S49" s="8" t="s">
        <v>447</v>
      </c>
      <c r="T49" s="8"/>
      <c r="U49" s="8" t="s">
        <v>448</v>
      </c>
      <c r="V49" s="51" t="s">
        <v>449</v>
      </c>
      <c r="W49" s="11">
        <v>36651296</v>
      </c>
      <c r="X49" s="12" t="s">
        <v>450</v>
      </c>
      <c r="Y49" s="12" t="s">
        <v>451</v>
      </c>
      <c r="Z49" s="12" t="s">
        <v>228</v>
      </c>
      <c r="AA49" s="13" t="s">
        <v>452</v>
      </c>
      <c r="AB49" s="52" t="s">
        <v>64</v>
      </c>
      <c r="AD49" s="12" t="s">
        <v>65</v>
      </c>
      <c r="AE49" s="54">
        <v>9968</v>
      </c>
      <c r="AF49" s="62">
        <v>1520</v>
      </c>
      <c r="AG49" s="56">
        <f t="shared" si="2"/>
        <v>8448</v>
      </c>
      <c r="AH49" s="57">
        <v>7566.35</v>
      </c>
      <c r="AI49" s="58">
        <f t="shared" si="3"/>
        <v>1984.8347107438015</v>
      </c>
      <c r="AJ49" s="57">
        <v>2990.4</v>
      </c>
      <c r="AK49" s="74">
        <v>45910</v>
      </c>
      <c r="AL49" s="77">
        <f t="shared" si="4"/>
        <v>6977.6</v>
      </c>
      <c r="AM49" s="78">
        <v>46062</v>
      </c>
      <c r="AN49" s="79" t="s">
        <v>66</v>
      </c>
      <c r="AO49" s="5" t="s">
        <v>91</v>
      </c>
      <c r="AQ49" s="59">
        <f t="shared" si="5"/>
        <v>9968</v>
      </c>
      <c r="AR49" s="60">
        <f t="shared" si="7"/>
        <v>1016357.11</v>
      </c>
      <c r="AS49" s="59">
        <f>+AI49*(1+'[1]Proforma 2026'!$AS$2)</f>
        <v>2213.0907024793387</v>
      </c>
      <c r="AT49" s="60">
        <f t="shared" si="8"/>
        <v>205181.38772727267</v>
      </c>
      <c r="AU49" s="61">
        <f t="shared" si="6"/>
        <v>45908</v>
      </c>
    </row>
    <row r="50" spans="1:47" ht="15.6" x14ac:dyDescent="0.3">
      <c r="A50" s="16" t="s">
        <v>453</v>
      </c>
      <c r="B50" s="48" t="s">
        <v>454</v>
      </c>
      <c r="C50" s="4"/>
      <c r="D50" s="4" t="s">
        <v>52</v>
      </c>
      <c r="E50" s="4"/>
      <c r="F50" s="4"/>
      <c r="G50" s="4"/>
      <c r="H50" s="4"/>
      <c r="I50" s="12" t="s">
        <v>81</v>
      </c>
      <c r="J50" s="12" t="s">
        <v>183</v>
      </c>
      <c r="K50" s="6"/>
      <c r="L50" s="7">
        <v>45909</v>
      </c>
      <c r="M50" s="8" t="s">
        <v>455</v>
      </c>
      <c r="N50" s="9">
        <v>2</v>
      </c>
      <c r="O50" s="49">
        <f t="shared" si="0"/>
        <v>46094</v>
      </c>
      <c r="P50" s="50">
        <f t="shared" si="1"/>
        <v>46101</v>
      </c>
      <c r="Q50" s="10">
        <v>46141</v>
      </c>
      <c r="R50" s="10">
        <v>46157</v>
      </c>
      <c r="S50" s="8" t="s">
        <v>456</v>
      </c>
      <c r="T50" s="8"/>
      <c r="U50" s="8" t="s">
        <v>457</v>
      </c>
      <c r="V50" s="51" t="s">
        <v>458</v>
      </c>
      <c r="W50" s="11">
        <v>14711476</v>
      </c>
      <c r="X50" s="12" t="s">
        <v>459</v>
      </c>
      <c r="Y50" s="12" t="s">
        <v>460</v>
      </c>
      <c r="Z50" s="12" t="s">
        <v>104</v>
      </c>
      <c r="AA50" s="13">
        <v>60043</v>
      </c>
      <c r="AB50" s="52" t="s">
        <v>64</v>
      </c>
      <c r="AD50" s="12" t="s">
        <v>65</v>
      </c>
      <c r="AE50" s="54">
        <v>36731</v>
      </c>
      <c r="AF50" s="62">
        <v>4408</v>
      </c>
      <c r="AG50" s="56">
        <f t="shared" si="2"/>
        <v>32323</v>
      </c>
      <c r="AH50" s="57">
        <v>28073.19</v>
      </c>
      <c r="AI50" s="58">
        <f t="shared" si="3"/>
        <v>7155.2148760330592</v>
      </c>
      <c r="AJ50" s="57">
        <f>11019.3+12855.85</f>
        <v>23875.15</v>
      </c>
      <c r="AK50" s="74">
        <v>46071</v>
      </c>
      <c r="AL50" s="57">
        <f t="shared" si="4"/>
        <v>12855.849999999999</v>
      </c>
      <c r="AM50" s="23">
        <v>46071</v>
      </c>
      <c r="AN50" s="5" t="s">
        <v>66</v>
      </c>
      <c r="AO50" s="5" t="s">
        <v>91</v>
      </c>
      <c r="AQ50" s="59">
        <f t="shared" si="5"/>
        <v>36731</v>
      </c>
      <c r="AR50" s="60">
        <f t="shared" si="7"/>
        <v>1053088.1099999999</v>
      </c>
      <c r="AS50" s="59">
        <f>+AI50*(1+'[1]Proforma 2026'!$AS$2)</f>
        <v>7978.0645867768608</v>
      </c>
      <c r="AT50" s="60">
        <f t="shared" si="8"/>
        <v>213159.45231404953</v>
      </c>
      <c r="AU50" s="61">
        <f t="shared" si="6"/>
        <v>45909</v>
      </c>
    </row>
    <row r="51" spans="1:47" ht="15.6" x14ac:dyDescent="0.3">
      <c r="A51" s="16" t="s">
        <v>461</v>
      </c>
      <c r="B51" s="48">
        <v>36342</v>
      </c>
      <c r="C51" s="4"/>
      <c r="D51" s="4" t="s">
        <v>52</v>
      </c>
      <c r="E51" s="4"/>
      <c r="F51" s="4"/>
      <c r="G51" s="4"/>
      <c r="H51" s="4"/>
      <c r="I51" s="12" t="s">
        <v>108</v>
      </c>
      <c r="J51" s="12" t="s">
        <v>282</v>
      </c>
      <c r="K51" s="6"/>
      <c r="L51" s="7">
        <v>45910</v>
      </c>
      <c r="M51" s="8" t="s">
        <v>462</v>
      </c>
      <c r="N51" s="9">
        <v>4</v>
      </c>
      <c r="O51" s="49">
        <f t="shared" si="0"/>
        <v>45971</v>
      </c>
      <c r="P51" s="50">
        <f t="shared" si="1"/>
        <v>45978</v>
      </c>
      <c r="Q51" s="10">
        <v>46018</v>
      </c>
      <c r="R51" s="10">
        <v>46026</v>
      </c>
      <c r="S51" s="8" t="s">
        <v>463</v>
      </c>
      <c r="T51" s="8"/>
      <c r="U51" s="8" t="s">
        <v>464</v>
      </c>
      <c r="V51" s="51" t="s">
        <v>465</v>
      </c>
      <c r="W51" s="11">
        <v>10714060</v>
      </c>
      <c r="X51" s="12" t="s">
        <v>466</v>
      </c>
      <c r="Y51" s="12" t="s">
        <v>467</v>
      </c>
      <c r="Z51" s="12" t="s">
        <v>200</v>
      </c>
      <c r="AA51" s="13">
        <v>32836</v>
      </c>
      <c r="AB51" s="52" t="s">
        <v>64</v>
      </c>
      <c r="AD51" s="12" t="s">
        <v>119</v>
      </c>
      <c r="AE51" s="54">
        <v>41773</v>
      </c>
      <c r="AF51" s="62">
        <v>4830</v>
      </c>
      <c r="AG51" s="56">
        <f t="shared" si="2"/>
        <v>36943</v>
      </c>
      <c r="AH51" s="57">
        <v>33629.480000000003</v>
      </c>
      <c r="AI51" s="58">
        <f t="shared" si="3"/>
        <v>6730.1818181818153</v>
      </c>
      <c r="AJ51" s="57">
        <f>12075.9+28177.1</f>
        <v>40253</v>
      </c>
      <c r="AK51" s="74">
        <v>45981</v>
      </c>
      <c r="AL51" s="57">
        <f t="shared" si="4"/>
        <v>1520</v>
      </c>
      <c r="AM51" s="23">
        <v>46007</v>
      </c>
      <c r="AN51" s="5" t="s">
        <v>66</v>
      </c>
      <c r="AO51" s="29" t="s">
        <v>77</v>
      </c>
      <c r="AQ51" s="59">
        <f t="shared" si="5"/>
        <v>41773</v>
      </c>
      <c r="AR51" s="55">
        <f t="shared" si="7"/>
        <v>1094861.1099999999</v>
      </c>
      <c r="AS51" s="59">
        <f>+AI51*(1+'[1]Proforma 2026'!$AS$2)</f>
        <v>7504.1527272727244</v>
      </c>
      <c r="AT51" s="60">
        <f t="shared" si="8"/>
        <v>220663.60504132224</v>
      </c>
      <c r="AU51" s="61">
        <f t="shared" si="6"/>
        <v>45910</v>
      </c>
    </row>
    <row r="52" spans="1:47" ht="15.6" x14ac:dyDescent="0.3">
      <c r="A52" s="16" t="s">
        <v>468</v>
      </c>
      <c r="B52" s="48" t="s">
        <v>469</v>
      </c>
      <c r="C52" s="4"/>
      <c r="D52" s="4" t="s">
        <v>52</v>
      </c>
      <c r="E52" s="4"/>
      <c r="F52" s="4"/>
      <c r="G52" s="4"/>
      <c r="H52" s="4"/>
      <c r="I52" s="12" t="s">
        <v>148</v>
      </c>
      <c r="J52" s="12" t="s">
        <v>282</v>
      </c>
      <c r="K52" s="6"/>
      <c r="L52" s="7">
        <v>45911</v>
      </c>
      <c r="M52" s="8" t="s">
        <v>470</v>
      </c>
      <c r="N52" s="9">
        <v>5</v>
      </c>
      <c r="O52" s="49">
        <f t="shared" si="0"/>
        <v>46160</v>
      </c>
      <c r="P52" s="50">
        <f t="shared" si="1"/>
        <v>46167</v>
      </c>
      <c r="Q52" s="10">
        <v>46207</v>
      </c>
      <c r="R52" s="10">
        <v>46218</v>
      </c>
      <c r="S52" s="8" t="s">
        <v>471</v>
      </c>
      <c r="T52" s="8"/>
      <c r="U52" s="8" t="s">
        <v>472</v>
      </c>
      <c r="V52" s="51" t="s">
        <v>473</v>
      </c>
      <c r="W52" s="11">
        <v>33674255</v>
      </c>
      <c r="X52" s="12" t="s">
        <v>474</v>
      </c>
      <c r="Y52" s="12" t="s">
        <v>475</v>
      </c>
      <c r="Z52" s="12" t="s">
        <v>144</v>
      </c>
      <c r="AA52" s="13">
        <v>10018</v>
      </c>
      <c r="AB52" s="52" t="s">
        <v>64</v>
      </c>
      <c r="AD52" s="12" t="s">
        <v>65</v>
      </c>
      <c r="AE52" s="54">
        <v>70515</v>
      </c>
      <c r="AF52" s="55">
        <v>10781</v>
      </c>
      <c r="AG52" s="56">
        <f t="shared" si="2"/>
        <v>59734</v>
      </c>
      <c r="AH52" s="57">
        <v>58661.16</v>
      </c>
      <c r="AI52" s="58">
        <f t="shared" si="3"/>
        <v>9796.5619834710724</v>
      </c>
      <c r="AJ52" s="57">
        <f>21326.1+50544.9</f>
        <v>71871</v>
      </c>
      <c r="AK52" s="30">
        <v>46190</v>
      </c>
      <c r="AL52" s="64">
        <f t="shared" si="4"/>
        <v>-1356</v>
      </c>
      <c r="AM52" s="32">
        <v>46220</v>
      </c>
      <c r="AN52" s="29" t="s">
        <v>66</v>
      </c>
      <c r="AO52" s="29" t="s">
        <v>91</v>
      </c>
      <c r="AQ52" s="59">
        <f t="shared" si="5"/>
        <v>70515</v>
      </c>
      <c r="AR52" s="60">
        <f t="shared" si="7"/>
        <v>1165376.1099999999</v>
      </c>
      <c r="AS52" s="59">
        <f>+AI52*(1+'[1]Proforma 2026'!$AS$2)</f>
        <v>10923.166611570246</v>
      </c>
      <c r="AT52" s="60">
        <f t="shared" si="8"/>
        <v>231586.77165289249</v>
      </c>
      <c r="AU52" s="61">
        <f t="shared" si="6"/>
        <v>45911</v>
      </c>
    </row>
    <row r="53" spans="1:47" ht="15.6" x14ac:dyDescent="0.3">
      <c r="A53" s="16" t="s">
        <v>476</v>
      </c>
      <c r="B53" s="48" t="s">
        <v>477</v>
      </c>
      <c r="C53" s="4"/>
      <c r="D53" s="4" t="s">
        <v>52</v>
      </c>
      <c r="E53" s="4"/>
      <c r="F53" s="4"/>
      <c r="G53" s="4"/>
      <c r="H53" s="4"/>
      <c r="I53" s="12" t="s">
        <v>81</v>
      </c>
      <c r="J53" s="12" t="s">
        <v>124</v>
      </c>
      <c r="K53" s="6"/>
      <c r="L53" s="7">
        <v>45911</v>
      </c>
      <c r="M53" s="8" t="s">
        <v>478</v>
      </c>
      <c r="N53" s="9">
        <v>2</v>
      </c>
      <c r="O53" s="49">
        <f t="shared" si="0"/>
        <v>46146</v>
      </c>
      <c r="P53" s="50">
        <f t="shared" si="1"/>
        <v>46153</v>
      </c>
      <c r="Q53" s="10">
        <v>46193</v>
      </c>
      <c r="R53" s="10">
        <v>46212</v>
      </c>
      <c r="S53" s="8" t="s">
        <v>479</v>
      </c>
      <c r="T53" s="8"/>
      <c r="U53" s="8" t="s">
        <v>480</v>
      </c>
      <c r="V53" s="51" t="s">
        <v>481</v>
      </c>
      <c r="W53" s="11" t="s">
        <v>482</v>
      </c>
      <c r="X53" s="12" t="s">
        <v>483</v>
      </c>
      <c r="Y53" s="12" t="s">
        <v>484</v>
      </c>
      <c r="Z53" s="12" t="s">
        <v>212</v>
      </c>
      <c r="AA53" s="13" t="s">
        <v>485</v>
      </c>
      <c r="AB53" s="52" t="s">
        <v>64</v>
      </c>
      <c r="AD53" s="12" t="s">
        <v>119</v>
      </c>
      <c r="AE53" s="54">
        <v>27201</v>
      </c>
      <c r="AF53" s="62">
        <v>3239</v>
      </c>
      <c r="AG53" s="56">
        <f t="shared" si="2"/>
        <v>23962</v>
      </c>
      <c r="AH53" s="57">
        <v>21636.23</v>
      </c>
      <c r="AI53" s="58">
        <f t="shared" si="3"/>
        <v>4598.9834710743808</v>
      </c>
      <c r="AJ53" s="57">
        <f>8098.8+18897.2</f>
        <v>26996</v>
      </c>
      <c r="AK53" s="30">
        <v>45904</v>
      </c>
      <c r="AL53" s="57">
        <f t="shared" si="4"/>
        <v>205</v>
      </c>
      <c r="AM53" s="23">
        <v>46171</v>
      </c>
      <c r="AN53" s="5" t="s">
        <v>66</v>
      </c>
      <c r="AO53" s="5" t="s">
        <v>352</v>
      </c>
      <c r="AQ53" s="59">
        <f t="shared" si="5"/>
        <v>27201</v>
      </c>
      <c r="AR53" s="60">
        <f t="shared" si="7"/>
        <v>1192577.1099999999</v>
      </c>
      <c r="AS53" s="59">
        <f>+AI53*(1+'[1]Proforma 2026'!$AS$2)</f>
        <v>5127.8665702479348</v>
      </c>
      <c r="AT53" s="60">
        <f t="shared" si="8"/>
        <v>236714.63822314044</v>
      </c>
      <c r="AU53" s="61">
        <f t="shared" si="6"/>
        <v>45911</v>
      </c>
    </row>
    <row r="54" spans="1:47" ht="15.6" x14ac:dyDescent="0.3">
      <c r="A54" s="16" t="s">
        <v>486</v>
      </c>
      <c r="B54" s="48" t="s">
        <v>487</v>
      </c>
      <c r="C54" s="4"/>
      <c r="D54" s="4" t="s">
        <v>52</v>
      </c>
      <c r="E54" s="4"/>
      <c r="F54" s="4"/>
      <c r="G54" s="4"/>
      <c r="H54" s="4"/>
      <c r="I54" s="12" t="s">
        <v>148</v>
      </c>
      <c r="J54" s="12" t="s">
        <v>82</v>
      </c>
      <c r="K54" s="6"/>
      <c r="L54" s="7">
        <v>45912</v>
      </c>
      <c r="M54" s="8" t="s">
        <v>488</v>
      </c>
      <c r="N54" s="9">
        <v>2</v>
      </c>
      <c r="O54" s="49">
        <f t="shared" si="0"/>
        <v>46101</v>
      </c>
      <c r="P54" s="50">
        <f t="shared" si="1"/>
        <v>46108</v>
      </c>
      <c r="Q54" s="10">
        <v>46148</v>
      </c>
      <c r="R54" s="10">
        <v>46165</v>
      </c>
      <c r="S54" s="8" t="s">
        <v>489</v>
      </c>
      <c r="T54" s="8"/>
      <c r="U54" s="8" t="s">
        <v>490</v>
      </c>
      <c r="V54" s="51" t="s">
        <v>491</v>
      </c>
      <c r="W54" s="11" t="s">
        <v>492</v>
      </c>
      <c r="X54" s="12" t="s">
        <v>493</v>
      </c>
      <c r="Y54" s="12" t="s">
        <v>494</v>
      </c>
      <c r="Z54" s="12" t="s">
        <v>495</v>
      </c>
      <c r="AA54" s="13">
        <v>80129</v>
      </c>
      <c r="AB54" s="52" t="s">
        <v>64</v>
      </c>
      <c r="AD54" s="12" t="s">
        <v>132</v>
      </c>
      <c r="AE54" s="54">
        <v>11894</v>
      </c>
      <c r="AF54" s="62">
        <v>1762</v>
      </c>
      <c r="AG54" s="56">
        <f t="shared" si="2"/>
        <v>10132</v>
      </c>
      <c r="AH54" s="57">
        <v>9564.4599999999991</v>
      </c>
      <c r="AI54" s="58">
        <f t="shared" si="3"/>
        <v>1925.2396694214883</v>
      </c>
      <c r="AJ54" s="57">
        <v>3450.3</v>
      </c>
      <c r="AK54" s="74">
        <v>45912</v>
      </c>
      <c r="AL54" s="57">
        <f t="shared" si="4"/>
        <v>8443.7000000000007</v>
      </c>
      <c r="AM54" s="23">
        <v>46097</v>
      </c>
      <c r="AN54" s="5" t="s">
        <v>66</v>
      </c>
      <c r="AO54" s="5" t="s">
        <v>91</v>
      </c>
      <c r="AQ54" s="59">
        <f t="shared" si="5"/>
        <v>11894</v>
      </c>
      <c r="AR54" s="60">
        <f t="shared" si="7"/>
        <v>1204471.1099999999</v>
      </c>
      <c r="AS54" s="59">
        <f>+AI54*(1+'[1]Proforma 2026'!$AS$2)</f>
        <v>2146.6422314049596</v>
      </c>
      <c r="AT54" s="60">
        <f t="shared" si="8"/>
        <v>238861.2804545454</v>
      </c>
      <c r="AU54" s="61">
        <f t="shared" si="6"/>
        <v>45912</v>
      </c>
    </row>
    <row r="55" spans="1:47" ht="15.6" x14ac:dyDescent="0.3">
      <c r="A55" s="16" t="s">
        <v>496</v>
      </c>
      <c r="B55" s="48" t="s">
        <v>497</v>
      </c>
      <c r="C55" s="4"/>
      <c r="D55" s="4" t="s">
        <v>52</v>
      </c>
      <c r="E55" s="4"/>
      <c r="F55" s="4"/>
      <c r="G55" s="4"/>
      <c r="H55" s="4"/>
      <c r="I55" s="12" t="s">
        <v>123</v>
      </c>
      <c r="J55" s="12" t="s">
        <v>95</v>
      </c>
      <c r="K55" s="6"/>
      <c r="L55" s="7">
        <v>45916</v>
      </c>
      <c r="M55" s="8" t="s">
        <v>498</v>
      </c>
      <c r="N55" s="9">
        <v>2</v>
      </c>
      <c r="O55" s="49">
        <f t="shared" si="0"/>
        <v>46091</v>
      </c>
      <c r="P55" s="50">
        <f t="shared" si="1"/>
        <v>46098</v>
      </c>
      <c r="Q55" s="10">
        <v>46138</v>
      </c>
      <c r="R55" s="10">
        <v>46149</v>
      </c>
      <c r="S55" s="8" t="s">
        <v>499</v>
      </c>
      <c r="T55" s="8"/>
      <c r="U55" s="8" t="s">
        <v>500</v>
      </c>
      <c r="V55" s="51" t="s">
        <v>501</v>
      </c>
      <c r="W55" s="11" t="s">
        <v>502</v>
      </c>
      <c r="X55" s="12" t="s">
        <v>503</v>
      </c>
      <c r="Y55" s="12" t="s">
        <v>504</v>
      </c>
      <c r="Z55" s="12" t="s">
        <v>505</v>
      </c>
      <c r="AA55" s="13">
        <v>68124</v>
      </c>
      <c r="AB55" s="52" t="s">
        <v>64</v>
      </c>
      <c r="AD55" s="12" t="s">
        <v>65</v>
      </c>
      <c r="AE55" s="54">
        <v>19795</v>
      </c>
      <c r="AF55" s="62">
        <v>2375</v>
      </c>
      <c r="AG55" s="56">
        <f t="shared" si="2"/>
        <v>17420</v>
      </c>
      <c r="AH55" s="57">
        <v>15213.54</v>
      </c>
      <c r="AI55" s="58">
        <f t="shared" si="3"/>
        <v>3786.3305785123962</v>
      </c>
      <c r="AJ55" s="57">
        <v>6159.3</v>
      </c>
      <c r="AK55" s="74">
        <v>45919</v>
      </c>
      <c r="AL55" s="57">
        <f t="shared" si="4"/>
        <v>13635.7</v>
      </c>
      <c r="AM55" s="23">
        <v>46097</v>
      </c>
      <c r="AN55" s="5" t="s">
        <v>66</v>
      </c>
      <c r="AO55" s="5" t="s">
        <v>91</v>
      </c>
      <c r="AQ55" s="59">
        <f t="shared" si="5"/>
        <v>19795</v>
      </c>
      <c r="AR55" s="60">
        <f t="shared" si="7"/>
        <v>1224266.1099999999</v>
      </c>
      <c r="AS55" s="59">
        <f>+AI55*(1+'[1]Proforma 2026'!$AS$2)</f>
        <v>4221.7585950413213</v>
      </c>
      <c r="AT55" s="60">
        <f t="shared" si="8"/>
        <v>243083.03904958672</v>
      </c>
      <c r="AU55" s="61">
        <f t="shared" si="6"/>
        <v>45916</v>
      </c>
    </row>
    <row r="56" spans="1:47" ht="15.6" x14ac:dyDescent="0.3">
      <c r="A56" s="16" t="s">
        <v>506</v>
      </c>
      <c r="B56" s="48" t="s">
        <v>507</v>
      </c>
      <c r="C56" s="4"/>
      <c r="D56" s="4" t="s">
        <v>52</v>
      </c>
      <c r="E56" s="4"/>
      <c r="F56" s="4"/>
      <c r="G56" s="4"/>
      <c r="H56" s="4"/>
      <c r="I56" s="12" t="s">
        <v>301</v>
      </c>
      <c r="J56" s="12" t="s">
        <v>282</v>
      </c>
      <c r="K56" s="6"/>
      <c r="L56" s="7">
        <v>45917</v>
      </c>
      <c r="M56" s="8" t="s">
        <v>508</v>
      </c>
      <c r="N56" s="9">
        <v>2</v>
      </c>
      <c r="O56" s="49">
        <f t="shared" si="0"/>
        <v>46079</v>
      </c>
      <c r="P56" s="50">
        <f t="shared" si="1"/>
        <v>46086</v>
      </c>
      <c r="Q56" s="10">
        <v>46126</v>
      </c>
      <c r="R56" s="10">
        <v>46136</v>
      </c>
      <c r="S56" s="8" t="s">
        <v>509</v>
      </c>
      <c r="T56" s="8"/>
      <c r="U56" s="8" t="s">
        <v>510</v>
      </c>
      <c r="V56" s="51" t="s">
        <v>511</v>
      </c>
      <c r="W56" s="11">
        <v>34574260</v>
      </c>
      <c r="X56" s="12" t="s">
        <v>512</v>
      </c>
      <c r="Y56" s="12" t="s">
        <v>513</v>
      </c>
      <c r="Z56" s="12" t="s">
        <v>366</v>
      </c>
      <c r="AA56" s="13">
        <v>6902</v>
      </c>
      <c r="AB56" s="52" t="s">
        <v>64</v>
      </c>
      <c r="AD56" s="12" t="s">
        <v>65</v>
      </c>
      <c r="AE56" s="54">
        <v>19994</v>
      </c>
      <c r="AF56" s="62">
        <v>2999</v>
      </c>
      <c r="AG56" s="56">
        <f t="shared" si="2"/>
        <v>16995</v>
      </c>
      <c r="AH56" s="57">
        <v>15132</v>
      </c>
      <c r="AI56" s="58">
        <f t="shared" si="3"/>
        <v>4018.1818181818185</v>
      </c>
      <c r="AJ56" s="57">
        <v>6136.5</v>
      </c>
      <c r="AK56" s="74">
        <v>45918</v>
      </c>
      <c r="AL56" s="57">
        <f t="shared" si="4"/>
        <v>13857.5</v>
      </c>
      <c r="AM56" s="23">
        <v>46097</v>
      </c>
      <c r="AN56" s="5" t="s">
        <v>66</v>
      </c>
      <c r="AO56" s="5" t="s">
        <v>91</v>
      </c>
      <c r="AQ56" s="59">
        <f t="shared" si="5"/>
        <v>19994</v>
      </c>
      <c r="AR56" s="60">
        <f t="shared" si="7"/>
        <v>1244260.1099999999</v>
      </c>
      <c r="AS56" s="59">
        <f>+AI56*(1+'[1]Proforma 2026'!$AS$2)</f>
        <v>4480.2727272727279</v>
      </c>
      <c r="AT56" s="60">
        <f t="shared" si="8"/>
        <v>247563.31177685945</v>
      </c>
      <c r="AU56" s="61">
        <f t="shared" si="6"/>
        <v>45917</v>
      </c>
    </row>
    <row r="57" spans="1:47" ht="15.6" x14ac:dyDescent="0.3">
      <c r="A57" s="16" t="s">
        <v>514</v>
      </c>
      <c r="B57" s="48" t="s">
        <v>515</v>
      </c>
      <c r="C57" s="4"/>
      <c r="D57" s="4" t="s">
        <v>52</v>
      </c>
      <c r="E57" s="4"/>
      <c r="F57" s="4"/>
      <c r="G57" s="4"/>
      <c r="H57" s="4"/>
      <c r="I57" s="12" t="s">
        <v>53</v>
      </c>
      <c r="J57" s="12" t="s">
        <v>124</v>
      </c>
      <c r="K57" s="6"/>
      <c r="L57" s="7">
        <v>45919</v>
      </c>
      <c r="M57" s="8" t="s">
        <v>516</v>
      </c>
      <c r="N57" s="9">
        <v>2</v>
      </c>
      <c r="O57" s="49">
        <f t="shared" si="0"/>
        <v>46072</v>
      </c>
      <c r="P57" s="50">
        <f t="shared" si="1"/>
        <v>46079</v>
      </c>
      <c r="Q57" s="10">
        <v>46119</v>
      </c>
      <c r="R57" s="10">
        <v>46129</v>
      </c>
      <c r="S57" s="8" t="s">
        <v>517</v>
      </c>
      <c r="T57" s="8"/>
      <c r="U57" s="8" t="s">
        <v>518</v>
      </c>
      <c r="V57" s="51" t="s">
        <v>519</v>
      </c>
      <c r="W57" s="11" t="s">
        <v>520</v>
      </c>
      <c r="X57" s="12" t="s">
        <v>521</v>
      </c>
      <c r="Y57" s="12" t="s">
        <v>475</v>
      </c>
      <c r="Z57" s="12" t="s">
        <v>144</v>
      </c>
      <c r="AA57" s="13">
        <v>1001</v>
      </c>
      <c r="AB57" s="52" t="s">
        <v>64</v>
      </c>
      <c r="AD57" s="12" t="s">
        <v>65</v>
      </c>
      <c r="AE57" s="54">
        <v>26174.5</v>
      </c>
      <c r="AF57" s="62">
        <v>2860</v>
      </c>
      <c r="AG57" s="56">
        <f t="shared" si="2"/>
        <v>23314.5</v>
      </c>
      <c r="AH57" s="57">
        <v>21713.77</v>
      </c>
      <c r="AI57" s="58">
        <f t="shared" si="3"/>
        <v>3686.5537190082641</v>
      </c>
      <c r="AJ57" s="57">
        <v>7585.5</v>
      </c>
      <c r="AK57" s="74">
        <v>45923</v>
      </c>
      <c r="AL57" s="64">
        <f t="shared" si="4"/>
        <v>18589</v>
      </c>
      <c r="AM57" s="32">
        <v>46083</v>
      </c>
      <c r="AN57" s="29" t="s">
        <v>66</v>
      </c>
      <c r="AO57" s="5" t="s">
        <v>91</v>
      </c>
      <c r="AQ57" s="59">
        <f t="shared" si="5"/>
        <v>26174.5</v>
      </c>
      <c r="AR57" s="55">
        <f t="shared" si="7"/>
        <v>1270434.6099999999</v>
      </c>
      <c r="AS57" s="59">
        <f>+AI57*(1+'[1]Proforma 2026'!$AS$2)</f>
        <v>4110.5073966942145</v>
      </c>
      <c r="AT57" s="60">
        <f t="shared" si="8"/>
        <v>251673.81917355367</v>
      </c>
      <c r="AU57" s="61">
        <f t="shared" si="6"/>
        <v>45919</v>
      </c>
    </row>
    <row r="58" spans="1:47" ht="15.6" x14ac:dyDescent="0.3">
      <c r="A58" s="16" t="s">
        <v>522</v>
      </c>
      <c r="B58" s="48" t="s">
        <v>107</v>
      </c>
      <c r="C58" s="4"/>
      <c r="D58" s="4" t="s">
        <v>52</v>
      </c>
      <c r="E58" s="4"/>
      <c r="F58" s="4"/>
      <c r="G58" s="4"/>
      <c r="H58" s="4"/>
      <c r="I58" s="12" t="s">
        <v>81</v>
      </c>
      <c r="J58" s="12" t="s">
        <v>82</v>
      </c>
      <c r="K58" s="6"/>
      <c r="L58" s="7">
        <v>45922</v>
      </c>
      <c r="M58" s="8" t="s">
        <v>523</v>
      </c>
      <c r="N58" s="9">
        <v>7</v>
      </c>
      <c r="O58" s="49">
        <f t="shared" si="0"/>
        <v>45978</v>
      </c>
      <c r="P58" s="50">
        <f t="shared" si="1"/>
        <v>45985</v>
      </c>
      <c r="Q58" s="10">
        <v>46025</v>
      </c>
      <c r="R58" s="10">
        <v>46036</v>
      </c>
      <c r="S58" s="8" t="s">
        <v>233</v>
      </c>
      <c r="T58" s="8"/>
      <c r="U58" s="8" t="s">
        <v>524</v>
      </c>
      <c r="V58" s="51" t="s">
        <v>525</v>
      </c>
      <c r="W58" s="11">
        <v>96023583</v>
      </c>
      <c r="X58" s="12" t="s">
        <v>115</v>
      </c>
      <c r="Y58" s="12" t="s">
        <v>116</v>
      </c>
      <c r="Z58" s="12"/>
      <c r="AA58" s="13" t="s">
        <v>117</v>
      </c>
      <c r="AB58" s="52" t="s">
        <v>118</v>
      </c>
      <c r="AD58" s="12" t="s">
        <v>119</v>
      </c>
      <c r="AE58" s="54">
        <v>69878</v>
      </c>
      <c r="AF58" s="62">
        <v>0</v>
      </c>
      <c r="AG58" s="56">
        <f t="shared" si="2"/>
        <v>69878</v>
      </c>
      <c r="AH58" s="57">
        <v>52640.49</v>
      </c>
      <c r="AI58" s="58">
        <f t="shared" si="3"/>
        <v>14245.876033057853</v>
      </c>
      <c r="AJ58" s="57">
        <f>21167+1802+24073+1682+680+298+4620+257+700+2375+1181+3868+7854+1567</f>
        <v>72124</v>
      </c>
      <c r="AK58" s="30">
        <v>46010</v>
      </c>
      <c r="AL58" s="69">
        <f t="shared" si="4"/>
        <v>-2246</v>
      </c>
      <c r="AM58" s="70">
        <v>46211</v>
      </c>
      <c r="AN58" s="71" t="s">
        <v>66</v>
      </c>
      <c r="AO58" s="71" t="s">
        <v>219</v>
      </c>
      <c r="AQ58" s="59">
        <f t="shared" si="5"/>
        <v>69878</v>
      </c>
      <c r="AR58" s="60">
        <f t="shared" si="7"/>
        <v>1340312.6099999999</v>
      </c>
      <c r="AS58" s="59">
        <f>+AI58*(1+'[1]Proforma 2026'!$AS$2)</f>
        <v>15884.151776859506</v>
      </c>
      <c r="AT58" s="60">
        <f t="shared" si="8"/>
        <v>267557.97095041315</v>
      </c>
      <c r="AU58" s="61">
        <f t="shared" si="6"/>
        <v>45922</v>
      </c>
    </row>
    <row r="59" spans="1:47" ht="15.6" x14ac:dyDescent="0.3">
      <c r="A59" s="16" t="s">
        <v>526</v>
      </c>
      <c r="B59" s="48">
        <v>37164</v>
      </c>
      <c r="C59" s="4" t="s">
        <v>52</v>
      </c>
      <c r="D59" s="4"/>
      <c r="E59" s="4"/>
      <c r="F59" s="4"/>
      <c r="G59" s="4"/>
      <c r="H59" s="4"/>
      <c r="I59" s="12" t="s">
        <v>148</v>
      </c>
      <c r="J59" s="12" t="s">
        <v>109</v>
      </c>
      <c r="K59" s="6"/>
      <c r="L59" s="7">
        <v>45923</v>
      </c>
      <c r="M59" s="8" t="s">
        <v>527</v>
      </c>
      <c r="N59" s="9">
        <v>21</v>
      </c>
      <c r="O59" s="49">
        <f t="shared" si="0"/>
        <v>45968</v>
      </c>
      <c r="P59" s="50">
        <f t="shared" si="1"/>
        <v>45975</v>
      </c>
      <c r="Q59" s="10">
        <v>46015</v>
      </c>
      <c r="R59" s="10">
        <v>46024</v>
      </c>
      <c r="S59" s="8" t="s">
        <v>528</v>
      </c>
      <c r="T59" s="8"/>
      <c r="U59" s="8" t="s">
        <v>529</v>
      </c>
      <c r="V59" s="51" t="s">
        <v>530</v>
      </c>
      <c r="W59" s="11">
        <v>45649730</v>
      </c>
      <c r="X59" s="12" t="s">
        <v>75</v>
      </c>
      <c r="Y59" s="12" t="s">
        <v>251</v>
      </c>
      <c r="Z59" s="12" t="s">
        <v>200</v>
      </c>
      <c r="AA59" s="13" t="s">
        <v>75</v>
      </c>
      <c r="AB59" s="52" t="s">
        <v>64</v>
      </c>
      <c r="AD59" s="12" t="s">
        <v>65</v>
      </c>
      <c r="AE59" s="54">
        <v>117805</v>
      </c>
      <c r="AF59" s="62">
        <v>33179</v>
      </c>
      <c r="AG59" s="56">
        <f t="shared" si="2"/>
        <v>84626</v>
      </c>
      <c r="AH59" s="57">
        <v>108002.72</v>
      </c>
      <c r="AI59" s="58">
        <f t="shared" si="3"/>
        <v>8101.0578512396687</v>
      </c>
      <c r="AJ59" s="57">
        <f>30000+65000</f>
        <v>95000</v>
      </c>
      <c r="AK59" s="74">
        <v>45995</v>
      </c>
      <c r="AL59" s="57">
        <f t="shared" si="4"/>
        <v>22805</v>
      </c>
      <c r="AM59" s="23">
        <v>46010</v>
      </c>
      <c r="AN59" s="5" t="s">
        <v>66</v>
      </c>
      <c r="AO59" s="29" t="s">
        <v>77</v>
      </c>
      <c r="AQ59" s="59">
        <f t="shared" si="5"/>
        <v>117805</v>
      </c>
      <c r="AR59" s="60">
        <f t="shared" si="7"/>
        <v>1458117.6099999999</v>
      </c>
      <c r="AS59" s="59">
        <f>+AI59*(1+'[1]Proforma 2026'!$AS$2)</f>
        <v>9032.6795041322312</v>
      </c>
      <c r="AT59" s="60">
        <f t="shared" si="8"/>
        <v>276590.65045454539</v>
      </c>
      <c r="AU59" s="61">
        <f t="shared" si="6"/>
        <v>45923</v>
      </c>
    </row>
    <row r="60" spans="1:47" ht="15.6" x14ac:dyDescent="0.3">
      <c r="A60" s="16" t="s">
        <v>531</v>
      </c>
      <c r="B60" s="48" t="s">
        <v>532</v>
      </c>
      <c r="D60" s="4" t="s">
        <v>52</v>
      </c>
      <c r="E60" s="4"/>
      <c r="F60" s="4"/>
      <c r="G60" s="4"/>
      <c r="H60" s="4"/>
      <c r="I60" s="12" t="s">
        <v>70</v>
      </c>
      <c r="J60" s="12" t="s">
        <v>136</v>
      </c>
      <c r="L60" s="7">
        <v>45923</v>
      </c>
      <c r="M60" s="8" t="s">
        <v>533</v>
      </c>
      <c r="N60" s="9">
        <v>2</v>
      </c>
      <c r="O60" s="49">
        <f t="shared" si="0"/>
        <v>46166</v>
      </c>
      <c r="P60" s="50">
        <f t="shared" si="1"/>
        <v>46173</v>
      </c>
      <c r="Q60" s="10">
        <v>46213</v>
      </c>
      <c r="R60" s="10">
        <v>46226</v>
      </c>
      <c r="S60" s="8" t="s">
        <v>534</v>
      </c>
      <c r="T60" s="8"/>
      <c r="U60" s="8" t="s">
        <v>535</v>
      </c>
      <c r="V60" s="51" t="s">
        <v>536</v>
      </c>
      <c r="W60" s="11">
        <v>45763410</v>
      </c>
      <c r="X60" s="12" t="s">
        <v>537</v>
      </c>
      <c r="Y60" s="12" t="s">
        <v>538</v>
      </c>
      <c r="Z60" s="12" t="s">
        <v>323</v>
      </c>
      <c r="AA60" s="13">
        <v>77024</v>
      </c>
      <c r="AB60" s="52" t="s">
        <v>64</v>
      </c>
      <c r="AD60" s="12" t="s">
        <v>132</v>
      </c>
      <c r="AE60" s="54">
        <v>20167</v>
      </c>
      <c r="AF60" s="55">
        <v>2017</v>
      </c>
      <c r="AG60" s="56">
        <f t="shared" si="2"/>
        <v>18150</v>
      </c>
      <c r="AH60" s="57">
        <v>14351.73</v>
      </c>
      <c r="AI60" s="58">
        <f t="shared" si="3"/>
        <v>4806.0082644628101</v>
      </c>
      <c r="AJ60" s="57">
        <f>5824.8+13591.2</f>
        <v>19416</v>
      </c>
      <c r="AK60" s="74">
        <v>46132</v>
      </c>
      <c r="AL60" s="57">
        <f t="shared" si="4"/>
        <v>751</v>
      </c>
      <c r="AM60" s="23">
        <v>46181</v>
      </c>
      <c r="AN60" s="5" t="s">
        <v>66</v>
      </c>
      <c r="AO60" s="5" t="s">
        <v>91</v>
      </c>
      <c r="AQ60" s="59">
        <f t="shared" si="5"/>
        <v>20167</v>
      </c>
      <c r="AR60" s="60">
        <f t="shared" si="7"/>
        <v>1478284.6099999999</v>
      </c>
      <c r="AS60" s="59">
        <f>+AI60*(1+'[1]Proforma 2026'!$AS$2)</f>
        <v>5358.6992148760328</v>
      </c>
      <c r="AT60" s="60">
        <f t="shared" si="8"/>
        <v>281949.34966942144</v>
      </c>
      <c r="AU60" s="61">
        <f t="shared" si="6"/>
        <v>45923</v>
      </c>
    </row>
    <row r="61" spans="1:47" ht="15.6" x14ac:dyDescent="0.3">
      <c r="A61" s="16" t="s">
        <v>539</v>
      </c>
      <c r="B61" s="48" t="s">
        <v>540</v>
      </c>
      <c r="D61" s="4" t="s">
        <v>52</v>
      </c>
      <c r="E61" s="4"/>
      <c r="F61" s="4"/>
      <c r="G61" s="4"/>
      <c r="H61" s="4"/>
      <c r="I61" s="12" t="s">
        <v>94</v>
      </c>
      <c r="J61" s="12" t="s">
        <v>136</v>
      </c>
      <c r="L61" s="7">
        <v>45925</v>
      </c>
      <c r="M61" s="8" t="s">
        <v>541</v>
      </c>
      <c r="N61" s="9">
        <v>4</v>
      </c>
      <c r="O61" s="49">
        <f t="shared" si="0"/>
        <v>46021</v>
      </c>
      <c r="P61" s="50">
        <f t="shared" si="1"/>
        <v>46028</v>
      </c>
      <c r="Q61" s="10">
        <v>46068</v>
      </c>
      <c r="R61" s="10">
        <v>46077</v>
      </c>
      <c r="S61" s="8" t="s">
        <v>542</v>
      </c>
      <c r="T61" s="8"/>
      <c r="U61" s="8" t="s">
        <v>543</v>
      </c>
      <c r="V61" s="51" t="s">
        <v>544</v>
      </c>
      <c r="W61" s="11">
        <v>15634743</v>
      </c>
      <c r="X61" s="12" t="s">
        <v>545</v>
      </c>
      <c r="Y61" s="12" t="s">
        <v>546</v>
      </c>
      <c r="Z61" s="12" t="s">
        <v>547</v>
      </c>
      <c r="AA61" s="13">
        <v>46220</v>
      </c>
      <c r="AB61" s="52" t="s">
        <v>64</v>
      </c>
      <c r="AD61" s="12" t="s">
        <v>65</v>
      </c>
      <c r="AE61" s="54">
        <v>25787</v>
      </c>
      <c r="AF61" s="62">
        <v>3825</v>
      </c>
      <c r="AG61" s="56">
        <f t="shared" si="2"/>
        <v>21962</v>
      </c>
      <c r="AH61" s="57">
        <v>19486.419999999998</v>
      </c>
      <c r="AI61" s="58">
        <f t="shared" si="3"/>
        <v>5207.0909090909108</v>
      </c>
      <c r="AJ61" s="57">
        <f>4462.5+4462.5+8287.5+8287.5</f>
        <v>25500</v>
      </c>
      <c r="AK61" s="74">
        <v>46014</v>
      </c>
      <c r="AL61" s="57">
        <f t="shared" si="4"/>
        <v>287</v>
      </c>
      <c r="AM61" s="23">
        <v>46069</v>
      </c>
      <c r="AN61" s="5" t="s">
        <v>66</v>
      </c>
      <c r="AO61" s="5" t="s">
        <v>91</v>
      </c>
      <c r="AQ61" s="59">
        <f t="shared" si="5"/>
        <v>25787</v>
      </c>
      <c r="AR61" s="60">
        <f t="shared" si="7"/>
        <v>1504071.6099999999</v>
      </c>
      <c r="AS61" s="59">
        <f>+AI61*(1+'[1]Proforma 2026'!$AS$2)</f>
        <v>5805.9063636363653</v>
      </c>
      <c r="AT61" s="60">
        <f t="shared" si="8"/>
        <v>287755.25603305781</v>
      </c>
      <c r="AU61" s="61">
        <f t="shared" si="6"/>
        <v>45925</v>
      </c>
    </row>
    <row r="62" spans="1:47" ht="15.6" x14ac:dyDescent="0.3">
      <c r="A62" s="16" t="s">
        <v>548</v>
      </c>
      <c r="B62" s="48" t="s">
        <v>549</v>
      </c>
      <c r="D62" s="4" t="s">
        <v>52</v>
      </c>
      <c r="E62" s="4"/>
      <c r="F62" s="4"/>
      <c r="G62" s="4"/>
      <c r="H62" s="4"/>
      <c r="I62" s="12" t="s">
        <v>70</v>
      </c>
      <c r="J62" s="12" t="s">
        <v>54</v>
      </c>
      <c r="L62" s="7">
        <v>45925</v>
      </c>
      <c r="M62" s="8" t="s">
        <v>550</v>
      </c>
      <c r="N62" s="9">
        <v>2</v>
      </c>
      <c r="O62" s="49">
        <f t="shared" si="0"/>
        <v>46099</v>
      </c>
      <c r="P62" s="50">
        <f t="shared" si="1"/>
        <v>46106</v>
      </c>
      <c r="Q62" s="10">
        <v>46146</v>
      </c>
      <c r="R62" s="10">
        <v>46160</v>
      </c>
      <c r="S62" s="8" t="s">
        <v>551</v>
      </c>
      <c r="T62" s="8"/>
      <c r="U62" s="8" t="s">
        <v>552</v>
      </c>
      <c r="V62" s="51" t="s">
        <v>553</v>
      </c>
      <c r="W62" s="11">
        <v>91272882</v>
      </c>
      <c r="X62" s="12" t="s">
        <v>554</v>
      </c>
      <c r="Y62" s="12" t="s">
        <v>116</v>
      </c>
      <c r="Z62" s="12"/>
      <c r="AA62" s="13" t="s">
        <v>555</v>
      </c>
      <c r="AB62" s="52" t="s">
        <v>64</v>
      </c>
      <c r="AD62" s="12" t="s">
        <v>65</v>
      </c>
      <c r="AE62" s="54">
        <v>25579</v>
      </c>
      <c r="AF62" s="62">
        <v>0</v>
      </c>
      <c r="AG62" s="56">
        <f t="shared" si="2"/>
        <v>25579</v>
      </c>
      <c r="AH62" s="57">
        <v>18925.259999999998</v>
      </c>
      <c r="AI62" s="58">
        <f t="shared" si="3"/>
        <v>5498.9586776859524</v>
      </c>
      <c r="AJ62" s="57">
        <v>7809.9</v>
      </c>
      <c r="AK62" s="74">
        <v>45922</v>
      </c>
      <c r="AL62" s="57">
        <f t="shared" si="4"/>
        <v>17769.099999999999</v>
      </c>
      <c r="AM62" s="23">
        <v>46140</v>
      </c>
      <c r="AN62" s="5" t="s">
        <v>66</v>
      </c>
      <c r="AO62" s="5" t="s">
        <v>91</v>
      </c>
      <c r="AQ62" s="59">
        <f t="shared" si="5"/>
        <v>25579</v>
      </c>
      <c r="AR62" s="60">
        <f t="shared" si="7"/>
        <v>1529650.6099999999</v>
      </c>
      <c r="AS62" s="59">
        <f>+AI62*(1+'[1]Proforma 2026'!$AS$2)</f>
        <v>6131.338925619837</v>
      </c>
      <c r="AT62" s="60">
        <f t="shared" si="8"/>
        <v>293886.59495867766</v>
      </c>
      <c r="AU62" s="61">
        <f t="shared" si="6"/>
        <v>45925</v>
      </c>
    </row>
    <row r="63" spans="1:47" ht="15.6" x14ac:dyDescent="0.3">
      <c r="A63" s="16" t="s">
        <v>556</v>
      </c>
      <c r="B63" s="48" t="s">
        <v>291</v>
      </c>
      <c r="D63" s="4" t="s">
        <v>52</v>
      </c>
      <c r="E63" s="4"/>
      <c r="F63" s="4"/>
      <c r="G63" s="4"/>
      <c r="H63" s="4"/>
      <c r="I63" s="12" t="s">
        <v>148</v>
      </c>
      <c r="J63" s="12" t="s">
        <v>95</v>
      </c>
      <c r="L63" s="7">
        <v>45929</v>
      </c>
      <c r="M63" s="8" t="s">
        <v>557</v>
      </c>
      <c r="N63" s="9">
        <v>6</v>
      </c>
      <c r="O63" s="49">
        <f t="shared" si="0"/>
        <v>45970</v>
      </c>
      <c r="P63" s="50">
        <f t="shared" si="1"/>
        <v>45977</v>
      </c>
      <c r="Q63" s="10">
        <v>46017</v>
      </c>
      <c r="R63" s="10">
        <v>46024</v>
      </c>
      <c r="S63" s="8" t="s">
        <v>558</v>
      </c>
      <c r="T63" s="8"/>
      <c r="U63" s="8" t="s">
        <v>559</v>
      </c>
      <c r="V63" s="51" t="s">
        <v>560</v>
      </c>
      <c r="W63" s="11">
        <v>34936580</v>
      </c>
      <c r="X63" s="12" t="s">
        <v>296</v>
      </c>
      <c r="Y63" s="12" t="s">
        <v>297</v>
      </c>
      <c r="Z63" s="12" t="s">
        <v>298</v>
      </c>
      <c r="AA63" s="13">
        <v>27615</v>
      </c>
      <c r="AB63" s="52" t="s">
        <v>64</v>
      </c>
      <c r="AD63" s="12" t="s">
        <v>65</v>
      </c>
      <c r="AE63" s="54">
        <v>29106</v>
      </c>
      <c r="AF63" s="62">
        <v>3649</v>
      </c>
      <c r="AG63" s="56">
        <f t="shared" si="2"/>
        <v>25457</v>
      </c>
      <c r="AH63" s="57">
        <v>23475.759999999998</v>
      </c>
      <c r="AI63" s="58">
        <f t="shared" si="3"/>
        <v>4653.0909090909108</v>
      </c>
      <c r="AJ63" s="57">
        <f>9122.7+20982.3+156</f>
        <v>30261</v>
      </c>
      <c r="AK63" s="74">
        <v>46353</v>
      </c>
      <c r="AL63" s="57">
        <f t="shared" si="4"/>
        <v>-1155</v>
      </c>
      <c r="AM63" s="23">
        <v>46030</v>
      </c>
      <c r="AN63" s="5" t="s">
        <v>66</v>
      </c>
      <c r="AO63" s="29" t="s">
        <v>77</v>
      </c>
      <c r="AQ63" s="59">
        <f t="shared" si="5"/>
        <v>29106</v>
      </c>
      <c r="AR63" s="60">
        <f t="shared" si="7"/>
        <v>1558756.6099999999</v>
      </c>
      <c r="AS63" s="59">
        <f>+AI63*(1+'[1]Proforma 2026'!$AS$2)</f>
        <v>5188.1963636363653</v>
      </c>
      <c r="AT63" s="60">
        <f t="shared" si="8"/>
        <v>299074.79132231401</v>
      </c>
      <c r="AU63" s="61">
        <f t="shared" si="6"/>
        <v>45929</v>
      </c>
    </row>
    <row r="64" spans="1:47" ht="15.6" x14ac:dyDescent="0.3">
      <c r="A64" s="16" t="s">
        <v>561</v>
      </c>
      <c r="B64" s="48" t="s">
        <v>415</v>
      </c>
      <c r="D64" s="4" t="s">
        <v>52</v>
      </c>
      <c r="E64" s="4"/>
      <c r="F64" s="4"/>
      <c r="G64" s="4"/>
      <c r="H64" s="4"/>
      <c r="I64" s="12" t="s">
        <v>53</v>
      </c>
      <c r="J64" s="12" t="s">
        <v>282</v>
      </c>
      <c r="L64" s="7">
        <v>45929</v>
      </c>
      <c r="M64" s="8" t="s">
        <v>562</v>
      </c>
      <c r="N64" s="9">
        <v>2</v>
      </c>
      <c r="O64" s="49">
        <f t="shared" si="0"/>
        <v>45994</v>
      </c>
      <c r="P64" s="50">
        <f t="shared" si="1"/>
        <v>46001</v>
      </c>
      <c r="Q64" s="10">
        <v>46041</v>
      </c>
      <c r="R64" s="10">
        <v>46046</v>
      </c>
      <c r="S64" s="8" t="s">
        <v>223</v>
      </c>
      <c r="T64" s="8"/>
      <c r="U64" s="8" t="s">
        <v>563</v>
      </c>
      <c r="V64" s="51" t="s">
        <v>564</v>
      </c>
      <c r="W64" s="11">
        <v>36747830</v>
      </c>
      <c r="X64" s="12" t="s">
        <v>420</v>
      </c>
      <c r="Y64" s="12" t="s">
        <v>227</v>
      </c>
      <c r="Z64" s="12" t="s">
        <v>228</v>
      </c>
      <c r="AA64" s="13">
        <v>45209</v>
      </c>
      <c r="AB64" s="52" t="s">
        <v>64</v>
      </c>
      <c r="AD64" s="12" t="s">
        <v>65</v>
      </c>
      <c r="AE64" s="54">
        <v>8767</v>
      </c>
      <c r="AF64" s="62">
        <v>1058</v>
      </c>
      <c r="AG64" s="56">
        <f t="shared" si="2"/>
        <v>7709</v>
      </c>
      <c r="AH64" s="57">
        <v>6545.83</v>
      </c>
      <c r="AI64" s="58">
        <f t="shared" si="3"/>
        <v>1835.6776859504134</v>
      </c>
      <c r="AJ64" s="57"/>
      <c r="AK64" s="76"/>
      <c r="AL64" s="64">
        <f t="shared" si="4"/>
        <v>8767</v>
      </c>
      <c r="AM64" s="23">
        <v>45931</v>
      </c>
      <c r="AN64" s="5" t="s">
        <v>66</v>
      </c>
      <c r="AO64" s="29" t="s">
        <v>77</v>
      </c>
      <c r="AQ64" s="59">
        <f t="shared" si="5"/>
        <v>8767</v>
      </c>
      <c r="AR64" s="60">
        <f t="shared" si="7"/>
        <v>1567523.6099999999</v>
      </c>
      <c r="AS64" s="59">
        <f>+AI64*(1+'[1]Proforma 2026'!$AS$2)</f>
        <v>2046.7806198347109</v>
      </c>
      <c r="AT64" s="60">
        <f t="shared" si="8"/>
        <v>301121.57194214873</v>
      </c>
      <c r="AU64" s="61">
        <f t="shared" si="6"/>
        <v>45929</v>
      </c>
    </row>
    <row r="65" spans="1:47" ht="15.6" x14ac:dyDescent="0.3">
      <c r="A65" s="16" t="s">
        <v>565</v>
      </c>
      <c r="B65" s="48" t="s">
        <v>566</v>
      </c>
      <c r="D65" s="4" t="s">
        <v>52</v>
      </c>
      <c r="E65" s="4"/>
      <c r="F65" s="4"/>
      <c r="G65" s="4"/>
      <c r="H65" s="4"/>
      <c r="I65" s="12" t="s">
        <v>108</v>
      </c>
      <c r="J65" s="12" t="s">
        <v>95</v>
      </c>
      <c r="L65" s="7">
        <v>45929</v>
      </c>
      <c r="M65" s="8" t="s">
        <v>567</v>
      </c>
      <c r="N65" s="9">
        <v>5</v>
      </c>
      <c r="O65" s="49">
        <f t="shared" si="0"/>
        <v>46134</v>
      </c>
      <c r="P65" s="50">
        <f t="shared" si="1"/>
        <v>46141</v>
      </c>
      <c r="Q65" s="10">
        <v>46181</v>
      </c>
      <c r="R65" s="10">
        <v>46188</v>
      </c>
      <c r="S65" s="8" t="s">
        <v>471</v>
      </c>
      <c r="T65" s="8"/>
      <c r="U65" s="8" t="s">
        <v>568</v>
      </c>
      <c r="V65" s="51" t="s">
        <v>569</v>
      </c>
      <c r="W65" s="11" t="s">
        <v>198</v>
      </c>
      <c r="X65" s="12" t="s">
        <v>570</v>
      </c>
      <c r="Y65" s="12" t="s">
        <v>571</v>
      </c>
      <c r="Z65" s="12" t="s">
        <v>212</v>
      </c>
      <c r="AA65" s="13">
        <v>3329</v>
      </c>
      <c r="AB65" s="52" t="s">
        <v>64</v>
      </c>
      <c r="AD65" s="12" t="s">
        <v>65</v>
      </c>
      <c r="AE65" s="54">
        <v>29709</v>
      </c>
      <c r="AF65" s="62">
        <v>3290</v>
      </c>
      <c r="AG65" s="56">
        <f t="shared" si="2"/>
        <v>26419</v>
      </c>
      <c r="AH65" s="57">
        <v>24491.71</v>
      </c>
      <c r="AI65" s="58">
        <f t="shared" si="3"/>
        <v>4311.8099173553728</v>
      </c>
      <c r="AJ65" s="57">
        <v>8862.9</v>
      </c>
      <c r="AK65" s="74">
        <v>45932</v>
      </c>
      <c r="AL65" s="57">
        <f t="shared" si="4"/>
        <v>20846.099999999999</v>
      </c>
      <c r="AM65" s="23">
        <v>46153</v>
      </c>
      <c r="AN65" s="5" t="s">
        <v>66</v>
      </c>
      <c r="AO65" s="5" t="s">
        <v>91</v>
      </c>
      <c r="AQ65" s="59">
        <f t="shared" si="5"/>
        <v>29709</v>
      </c>
      <c r="AR65" s="60">
        <f t="shared" si="7"/>
        <v>1597232.6099999999</v>
      </c>
      <c r="AS65" s="59">
        <f>+AI65*(1+'[1]Proforma 2026'!$AS$2)</f>
        <v>4807.6680578512405</v>
      </c>
      <c r="AT65" s="60">
        <f t="shared" si="8"/>
        <v>305929.24</v>
      </c>
      <c r="AU65" s="61">
        <f t="shared" si="6"/>
        <v>45929</v>
      </c>
    </row>
    <row r="66" spans="1:47" ht="15.6" x14ac:dyDescent="0.3">
      <c r="A66" s="16" t="s">
        <v>572</v>
      </c>
      <c r="B66" s="48" t="s">
        <v>573</v>
      </c>
      <c r="D66" s="4" t="s">
        <v>52</v>
      </c>
      <c r="E66" s="4"/>
      <c r="F66" s="4"/>
      <c r="G66" s="4"/>
      <c r="H66" s="4"/>
      <c r="I66" s="12" t="s">
        <v>53</v>
      </c>
      <c r="J66" s="12" t="s">
        <v>54</v>
      </c>
      <c r="L66" s="7">
        <v>45929</v>
      </c>
      <c r="M66" s="75" t="s">
        <v>574</v>
      </c>
      <c r="N66" s="9">
        <v>2</v>
      </c>
      <c r="O66" s="49">
        <f t="shared" si="0"/>
        <v>46136</v>
      </c>
      <c r="P66" s="50">
        <f t="shared" si="1"/>
        <v>46143</v>
      </c>
      <c r="Q66" s="10">
        <v>46183</v>
      </c>
      <c r="R66" s="10">
        <v>46204</v>
      </c>
      <c r="S66" s="8" t="s">
        <v>575</v>
      </c>
      <c r="T66" s="8"/>
      <c r="U66" s="8" t="s">
        <v>576</v>
      </c>
      <c r="V66" s="51" t="s">
        <v>577</v>
      </c>
      <c r="W66" s="11">
        <v>34936580</v>
      </c>
      <c r="X66" s="12" t="s">
        <v>575</v>
      </c>
      <c r="Y66" s="12" t="s">
        <v>578</v>
      </c>
      <c r="Z66" s="12" t="s">
        <v>298</v>
      </c>
      <c r="AA66" s="13">
        <v>28226</v>
      </c>
      <c r="AB66" s="52" t="s">
        <v>64</v>
      </c>
      <c r="AD66" s="12" t="s">
        <v>65</v>
      </c>
      <c r="AE66" s="54">
        <v>2664</v>
      </c>
      <c r="AF66" s="62">
        <v>580</v>
      </c>
      <c r="AG66" s="56">
        <f t="shared" si="2"/>
        <v>2084</v>
      </c>
      <c r="AH66" s="57">
        <v>1056</v>
      </c>
      <c r="AI66" s="58">
        <f t="shared" si="3"/>
        <v>1328.9256198347107</v>
      </c>
      <c r="AJ66" s="57">
        <v>5171.3999999999996</v>
      </c>
      <c r="AK66" s="74">
        <v>45932</v>
      </c>
      <c r="AL66" s="57">
        <f t="shared" si="4"/>
        <v>-2507.3999999999996</v>
      </c>
      <c r="AM66" s="23">
        <v>46141</v>
      </c>
      <c r="AN66" s="5" t="s">
        <v>66</v>
      </c>
      <c r="AO66" s="5" t="s">
        <v>91</v>
      </c>
      <c r="AQ66" s="59">
        <f t="shared" si="5"/>
        <v>2664</v>
      </c>
      <c r="AR66" s="60">
        <f t="shared" si="7"/>
        <v>1599896.6099999999</v>
      </c>
      <c r="AS66" s="59">
        <f>+AI66*(1+'[1]Proforma 2026'!$AS$2)</f>
        <v>1481.7520661157023</v>
      </c>
      <c r="AT66" s="60">
        <f t="shared" si="8"/>
        <v>307410.99206611566</v>
      </c>
      <c r="AU66" s="61">
        <f t="shared" si="6"/>
        <v>45929</v>
      </c>
    </row>
    <row r="67" spans="1:47" ht="15.6" x14ac:dyDescent="0.3">
      <c r="A67" s="16" t="s">
        <v>579</v>
      </c>
      <c r="B67" s="48">
        <v>36058</v>
      </c>
      <c r="D67" s="4" t="s">
        <v>52</v>
      </c>
      <c r="E67" s="4"/>
      <c r="F67" s="4"/>
      <c r="G67" s="4"/>
      <c r="H67" s="4"/>
      <c r="I67" s="12" t="s">
        <v>123</v>
      </c>
      <c r="J67" s="12" t="s">
        <v>282</v>
      </c>
      <c r="L67" s="7">
        <v>45929</v>
      </c>
      <c r="M67" s="8" t="s">
        <v>580</v>
      </c>
      <c r="N67" s="9">
        <v>2</v>
      </c>
      <c r="O67" s="49">
        <f t="shared" si="0"/>
        <v>46122</v>
      </c>
      <c r="P67" s="50">
        <f t="shared" si="1"/>
        <v>46129</v>
      </c>
      <c r="Q67" s="10">
        <v>46169</v>
      </c>
      <c r="R67" s="10">
        <v>46178</v>
      </c>
      <c r="S67" s="8" t="s">
        <v>581</v>
      </c>
      <c r="T67" s="8"/>
      <c r="U67" s="8" t="s">
        <v>582</v>
      </c>
      <c r="V67" s="51" t="s">
        <v>583</v>
      </c>
      <c r="W67" s="11">
        <v>45769253</v>
      </c>
      <c r="X67" s="12" t="s">
        <v>584</v>
      </c>
      <c r="Y67" s="12" t="s">
        <v>585</v>
      </c>
      <c r="Z67" s="12" t="s">
        <v>323</v>
      </c>
      <c r="AA67" s="13">
        <v>75078</v>
      </c>
      <c r="AB67" s="52" t="s">
        <v>64</v>
      </c>
      <c r="AD67" s="12" t="s">
        <v>65</v>
      </c>
      <c r="AE67" s="54">
        <v>27033</v>
      </c>
      <c r="AF67" s="62">
        <v>3143</v>
      </c>
      <c r="AG67" s="56">
        <f t="shared" si="2"/>
        <v>23890</v>
      </c>
      <c r="AH67" s="57">
        <v>21542.46</v>
      </c>
      <c r="AI67" s="58">
        <f t="shared" si="3"/>
        <v>4537.6363636363649</v>
      </c>
      <c r="AJ67" s="57">
        <f>4828.13+3342.9+2580+5220.1</f>
        <v>15971.130000000001</v>
      </c>
      <c r="AK67" s="74">
        <v>46132</v>
      </c>
      <c r="AL67" s="57">
        <f t="shared" si="4"/>
        <v>11061.869999999999</v>
      </c>
      <c r="AM67" s="23">
        <v>46132</v>
      </c>
      <c r="AN67" s="5" t="s">
        <v>66</v>
      </c>
      <c r="AO67" s="5" t="s">
        <v>91</v>
      </c>
      <c r="AQ67" s="59">
        <f t="shared" si="5"/>
        <v>27033</v>
      </c>
      <c r="AR67" s="60">
        <f t="shared" si="7"/>
        <v>1626929.6099999999</v>
      </c>
      <c r="AS67" s="59">
        <f>+AI67*(1+'[1]Proforma 2026'!$AS$2)</f>
        <v>5059.4645454545471</v>
      </c>
      <c r="AT67" s="60">
        <f t="shared" si="8"/>
        <v>312470.4566115702</v>
      </c>
      <c r="AU67" s="61">
        <f t="shared" si="6"/>
        <v>45929</v>
      </c>
    </row>
    <row r="68" spans="1:47" ht="15.6" x14ac:dyDescent="0.3">
      <c r="A68" s="16" t="s">
        <v>586</v>
      </c>
      <c r="B68" s="48" t="s">
        <v>587</v>
      </c>
      <c r="D68" s="4" t="s">
        <v>52</v>
      </c>
      <c r="E68" s="4"/>
      <c r="F68" s="4"/>
      <c r="G68" s="4"/>
      <c r="H68" s="4"/>
      <c r="I68" s="12" t="s">
        <v>123</v>
      </c>
      <c r="J68" s="12" t="s">
        <v>82</v>
      </c>
      <c r="L68" s="7">
        <v>45929</v>
      </c>
      <c r="M68" s="8" t="s">
        <v>588</v>
      </c>
      <c r="N68" s="9">
        <v>2</v>
      </c>
      <c r="O68" s="49">
        <f t="shared" ref="O68:O73" si="9">+Q68-47</f>
        <v>45972</v>
      </c>
      <c r="P68" s="50">
        <f t="shared" ref="P68:P73" si="10">+Q68-40</f>
        <v>45979</v>
      </c>
      <c r="Q68" s="10">
        <v>46019</v>
      </c>
      <c r="R68" s="10">
        <v>46026</v>
      </c>
      <c r="S68" s="8" t="s">
        <v>589</v>
      </c>
      <c r="T68" s="8"/>
      <c r="U68" s="8" t="s">
        <v>590</v>
      </c>
      <c r="V68" s="51" t="s">
        <v>591</v>
      </c>
      <c r="W68" s="11">
        <v>10797054</v>
      </c>
      <c r="X68" s="12" t="s">
        <v>592</v>
      </c>
      <c r="Y68" s="12" t="s">
        <v>593</v>
      </c>
      <c r="Z68" s="12" t="s">
        <v>200</v>
      </c>
      <c r="AA68" s="13">
        <v>33180</v>
      </c>
      <c r="AB68" s="52" t="s">
        <v>64</v>
      </c>
      <c r="AD68" s="12" t="s">
        <v>65</v>
      </c>
      <c r="AE68" s="54">
        <v>16748</v>
      </c>
      <c r="AF68" s="62">
        <v>2804</v>
      </c>
      <c r="AG68" s="56">
        <f t="shared" ref="AG68:AG73" si="11">+AE68-AF68</f>
        <v>13944</v>
      </c>
      <c r="AH68" s="57">
        <v>14307</v>
      </c>
      <c r="AI68" s="58">
        <f t="shared" ref="AI68:AI73" si="12">+(AE68-AH68)/1.21</f>
        <v>2017.3553719008264</v>
      </c>
      <c r="AJ68" s="57">
        <v>5024.3999999999996</v>
      </c>
      <c r="AK68" s="74">
        <v>45932</v>
      </c>
      <c r="AL68" s="64">
        <f t="shared" ref="AL68:AL73" si="13">+AE68-AJ68</f>
        <v>11723.6</v>
      </c>
      <c r="AM68" s="23">
        <v>45938</v>
      </c>
      <c r="AN68" s="5" t="s">
        <v>66</v>
      </c>
      <c r="AO68" s="29" t="s">
        <v>77</v>
      </c>
      <c r="AQ68" s="59">
        <f t="shared" ref="AQ68:AQ73" si="14">+AE68</f>
        <v>16748</v>
      </c>
      <c r="AR68" s="60">
        <f t="shared" si="7"/>
        <v>1643677.6099999999</v>
      </c>
      <c r="AS68" s="59">
        <f>+AI68*(1+'[1]Proforma 2026'!$AS$2)</f>
        <v>2249.3512396694214</v>
      </c>
      <c r="AT68" s="60">
        <f t="shared" si="8"/>
        <v>314719.80785123963</v>
      </c>
      <c r="AU68" s="61">
        <f t="shared" ref="AU68:AU73" si="15">+L68</f>
        <v>45929</v>
      </c>
    </row>
    <row r="69" spans="1:47" ht="15.6" x14ac:dyDescent="0.3">
      <c r="A69" s="16" t="s">
        <v>594</v>
      </c>
      <c r="B69" s="48">
        <v>36290</v>
      </c>
      <c r="D69" s="4" t="s">
        <v>52</v>
      </c>
      <c r="E69" s="4"/>
      <c r="F69" s="4"/>
      <c r="G69" s="4"/>
      <c r="H69" s="4"/>
      <c r="I69" s="12" t="s">
        <v>148</v>
      </c>
      <c r="J69" s="12" t="s">
        <v>136</v>
      </c>
      <c r="L69" s="7">
        <v>45929</v>
      </c>
      <c r="M69" s="8" t="s">
        <v>595</v>
      </c>
      <c r="N69" s="9">
        <v>2</v>
      </c>
      <c r="O69" s="49">
        <f t="shared" si="9"/>
        <v>46104</v>
      </c>
      <c r="P69" s="50">
        <f t="shared" si="10"/>
        <v>46111</v>
      </c>
      <c r="Q69" s="10">
        <v>46151</v>
      </c>
      <c r="R69" s="10">
        <v>46167</v>
      </c>
      <c r="S69" s="8" t="s">
        <v>190</v>
      </c>
      <c r="T69" s="8"/>
      <c r="U69" s="8"/>
      <c r="V69" s="51"/>
      <c r="W69" s="11" t="s">
        <v>75</v>
      </c>
      <c r="X69" s="12"/>
      <c r="Y69" s="12"/>
      <c r="Z69" s="12"/>
      <c r="AA69" s="13"/>
      <c r="AB69" s="52"/>
      <c r="AD69" s="52" t="s">
        <v>191</v>
      </c>
      <c r="AE69" s="54">
        <v>53686</v>
      </c>
      <c r="AF69" s="55">
        <v>2684</v>
      </c>
      <c r="AG69" s="56">
        <f t="shared" si="11"/>
        <v>51002</v>
      </c>
      <c r="AH69" s="57">
        <v>38301.21</v>
      </c>
      <c r="AI69" s="58">
        <f t="shared" si="12"/>
        <v>12714.702479338845</v>
      </c>
      <c r="AJ69" s="57">
        <f>300+14353.8+39429.2</f>
        <v>54083</v>
      </c>
      <c r="AK69" s="74">
        <v>46125</v>
      </c>
      <c r="AL69" s="64">
        <f t="shared" si="13"/>
        <v>-397</v>
      </c>
      <c r="AM69" s="32">
        <v>46176</v>
      </c>
      <c r="AN69" s="29" t="s">
        <v>66</v>
      </c>
      <c r="AO69" s="29" t="s">
        <v>91</v>
      </c>
      <c r="AQ69" s="59">
        <f t="shared" si="14"/>
        <v>53686</v>
      </c>
      <c r="AR69" s="60">
        <f t="shared" ref="AR69:AR73" si="16">+AQ69+AR68</f>
        <v>1697363.6099999999</v>
      </c>
      <c r="AS69" s="59">
        <f>+AI69*(1+'[1]Proforma 2026'!$AS$2)</f>
        <v>14176.893264462811</v>
      </c>
      <c r="AT69" s="60">
        <f t="shared" ref="AT69:AT73" si="17">+AS69+AT68</f>
        <v>328896.70111570245</v>
      </c>
      <c r="AU69" s="61">
        <f t="shared" si="15"/>
        <v>45929</v>
      </c>
    </row>
    <row r="70" spans="1:47" ht="15.6" x14ac:dyDescent="0.3">
      <c r="A70" s="16" t="s">
        <v>596</v>
      </c>
      <c r="B70" s="48" t="s">
        <v>597</v>
      </c>
      <c r="D70" s="4" t="s">
        <v>52</v>
      </c>
      <c r="E70" s="4"/>
      <c r="F70" s="4"/>
      <c r="G70" s="4"/>
      <c r="H70" s="4"/>
      <c r="I70" s="12" t="s">
        <v>108</v>
      </c>
      <c r="J70" s="12" t="s">
        <v>54</v>
      </c>
      <c r="L70" s="7">
        <v>45929</v>
      </c>
      <c r="M70" s="8" t="s">
        <v>598</v>
      </c>
      <c r="N70" s="9">
        <v>2</v>
      </c>
      <c r="O70" s="49">
        <f t="shared" si="9"/>
        <v>46192</v>
      </c>
      <c r="P70" s="50">
        <f t="shared" si="10"/>
        <v>46199</v>
      </c>
      <c r="Q70" s="10">
        <v>46239</v>
      </c>
      <c r="R70" s="10">
        <v>46251</v>
      </c>
      <c r="S70" s="8" t="s">
        <v>599</v>
      </c>
      <c r="T70" s="8"/>
      <c r="U70" s="8" t="s">
        <v>600</v>
      </c>
      <c r="V70" s="51" t="s">
        <v>601</v>
      </c>
      <c r="W70" s="11">
        <v>34574260</v>
      </c>
      <c r="X70" s="12" t="s">
        <v>602</v>
      </c>
      <c r="Y70" s="12" t="s">
        <v>603</v>
      </c>
      <c r="Z70" s="12" t="s">
        <v>366</v>
      </c>
      <c r="AA70" s="13">
        <v>6605</v>
      </c>
      <c r="AB70" s="52" t="s">
        <v>64</v>
      </c>
      <c r="AD70" s="12" t="s">
        <v>65</v>
      </c>
      <c r="AE70" s="54">
        <v>15469</v>
      </c>
      <c r="AF70" s="55">
        <v>1856</v>
      </c>
      <c r="AG70" s="56">
        <f t="shared" si="11"/>
        <v>13613</v>
      </c>
      <c r="AH70" s="57">
        <v>11846.33</v>
      </c>
      <c r="AI70" s="58">
        <f t="shared" si="12"/>
        <v>2993.9421487603308</v>
      </c>
      <c r="AJ70" s="57">
        <v>4640.7</v>
      </c>
      <c r="AK70" s="74">
        <v>45925</v>
      </c>
      <c r="AL70" s="64">
        <f t="shared" si="13"/>
        <v>10828.3</v>
      </c>
      <c r="AM70" s="32">
        <v>46202</v>
      </c>
      <c r="AN70" s="29" t="s">
        <v>66</v>
      </c>
      <c r="AO70" s="29" t="s">
        <v>91</v>
      </c>
      <c r="AQ70" s="59">
        <f t="shared" si="14"/>
        <v>15469</v>
      </c>
      <c r="AR70" s="60">
        <f t="shared" si="16"/>
        <v>1712832.6099999999</v>
      </c>
      <c r="AS70" s="59">
        <f>+AI70*(1+'[1]Proforma 2026'!$AS$2)</f>
        <v>3338.245495867769</v>
      </c>
      <c r="AT70" s="60">
        <f t="shared" si="17"/>
        <v>332234.94661157019</v>
      </c>
      <c r="AU70" s="61">
        <f t="shared" si="15"/>
        <v>45929</v>
      </c>
    </row>
    <row r="71" spans="1:47" ht="15.6" x14ac:dyDescent="0.3">
      <c r="A71" s="16" t="s">
        <v>604</v>
      </c>
      <c r="B71" s="48" t="s">
        <v>605</v>
      </c>
      <c r="D71" s="4" t="s">
        <v>52</v>
      </c>
      <c r="E71" s="4"/>
      <c r="F71" s="4"/>
      <c r="G71" s="4"/>
      <c r="H71" s="4"/>
      <c r="I71" s="12" t="s">
        <v>123</v>
      </c>
      <c r="J71" s="12" t="s">
        <v>136</v>
      </c>
      <c r="L71" s="7">
        <v>45929</v>
      </c>
      <c r="M71" s="8" t="s">
        <v>606</v>
      </c>
      <c r="N71" s="9">
        <v>2</v>
      </c>
      <c r="O71" s="49">
        <f t="shared" si="9"/>
        <v>46079</v>
      </c>
      <c r="P71" s="50">
        <f t="shared" si="10"/>
        <v>46086</v>
      </c>
      <c r="Q71" s="10">
        <v>46126</v>
      </c>
      <c r="R71" s="10">
        <v>46144</v>
      </c>
      <c r="S71" s="8" t="s">
        <v>607</v>
      </c>
      <c r="T71" s="8"/>
      <c r="U71" s="8" t="s">
        <v>608</v>
      </c>
      <c r="V71" s="51" t="s">
        <v>609</v>
      </c>
      <c r="W71" s="11">
        <v>49614106</v>
      </c>
      <c r="X71" s="12" t="s">
        <v>610</v>
      </c>
      <c r="Y71" s="12" t="s">
        <v>611</v>
      </c>
      <c r="Z71" s="12" t="s">
        <v>156</v>
      </c>
      <c r="AA71" s="13" t="s">
        <v>612</v>
      </c>
      <c r="AB71" s="52" t="s">
        <v>64</v>
      </c>
      <c r="AD71" s="12" t="s">
        <v>65</v>
      </c>
      <c r="AE71" s="54">
        <v>68540</v>
      </c>
      <c r="AF71" s="62">
        <v>9529</v>
      </c>
      <c r="AG71" s="56">
        <f t="shared" si="11"/>
        <v>59011</v>
      </c>
      <c r="AH71" s="57">
        <v>55765.25</v>
      </c>
      <c r="AI71" s="58">
        <f t="shared" si="12"/>
        <v>10557.644628099173</v>
      </c>
      <c r="AJ71" s="57">
        <f>9941.4+9941.4+23196.6+23196.6+1132</f>
        <v>67408</v>
      </c>
      <c r="AK71" s="74">
        <v>46150</v>
      </c>
      <c r="AL71" s="57">
        <f t="shared" si="13"/>
        <v>1132</v>
      </c>
      <c r="AM71" s="23">
        <v>46150</v>
      </c>
      <c r="AN71" s="5" t="s">
        <v>66</v>
      </c>
      <c r="AO71" s="5" t="s">
        <v>91</v>
      </c>
      <c r="AQ71" s="59">
        <f t="shared" si="14"/>
        <v>68540</v>
      </c>
      <c r="AR71" s="55">
        <f t="shared" si="16"/>
        <v>1781372.6099999999</v>
      </c>
      <c r="AS71" s="59">
        <f>+AI71*(1+'[1]Proforma 2026'!$AS$2)</f>
        <v>11771.773760330578</v>
      </c>
      <c r="AT71" s="60">
        <f t="shared" si="17"/>
        <v>344006.72037190077</v>
      </c>
      <c r="AU71" s="61">
        <f t="shared" si="15"/>
        <v>45929</v>
      </c>
    </row>
    <row r="72" spans="1:47" ht="15.6" x14ac:dyDescent="0.3">
      <c r="A72" s="16" t="s">
        <v>613</v>
      </c>
      <c r="B72" s="48" t="s">
        <v>614</v>
      </c>
      <c r="D72" s="4" t="s">
        <v>52</v>
      </c>
      <c r="E72" s="4"/>
      <c r="F72" s="4"/>
      <c r="G72" s="4"/>
      <c r="H72" s="4"/>
      <c r="I72" s="12" t="s">
        <v>94</v>
      </c>
      <c r="J72" s="12" t="s">
        <v>82</v>
      </c>
      <c r="L72" s="7">
        <v>45932</v>
      </c>
      <c r="M72" s="8" t="s">
        <v>615</v>
      </c>
      <c r="N72" s="9">
        <v>2</v>
      </c>
      <c r="O72" s="49">
        <f t="shared" si="9"/>
        <v>46220</v>
      </c>
      <c r="P72" s="50">
        <f t="shared" si="10"/>
        <v>46227</v>
      </c>
      <c r="Q72" s="10">
        <v>46267</v>
      </c>
      <c r="R72" s="10">
        <v>46275</v>
      </c>
      <c r="S72" s="8" t="s">
        <v>616</v>
      </c>
      <c r="T72" s="8"/>
      <c r="U72" s="8" t="s">
        <v>617</v>
      </c>
      <c r="V72" s="51" t="s">
        <v>618</v>
      </c>
      <c r="W72" s="11">
        <v>23664631</v>
      </c>
      <c r="X72" s="12" t="s">
        <v>619</v>
      </c>
      <c r="Y72" s="12" t="s">
        <v>620</v>
      </c>
      <c r="Z72" s="12" t="s">
        <v>621</v>
      </c>
      <c r="AA72" s="13" t="s">
        <v>622</v>
      </c>
      <c r="AB72" s="52" t="s">
        <v>64</v>
      </c>
      <c r="AD72" s="12" t="s">
        <v>65</v>
      </c>
      <c r="AE72" s="54">
        <v>10274</v>
      </c>
      <c r="AF72" s="55">
        <v>1438</v>
      </c>
      <c r="AG72" s="56">
        <f t="shared" si="11"/>
        <v>8836</v>
      </c>
      <c r="AH72" s="57">
        <v>7886.62</v>
      </c>
      <c r="AI72" s="58">
        <f t="shared" si="12"/>
        <v>1973.0413223140497</v>
      </c>
      <c r="AJ72" s="57">
        <v>3082.2</v>
      </c>
      <c r="AK72" s="74">
        <v>45933</v>
      </c>
      <c r="AL72" s="65">
        <f t="shared" si="13"/>
        <v>7191.8</v>
      </c>
      <c r="AM72" s="66">
        <v>46224</v>
      </c>
      <c r="AN72" s="67" t="s">
        <v>158</v>
      </c>
      <c r="AO72" s="67" t="s">
        <v>91</v>
      </c>
      <c r="AQ72" s="59">
        <f t="shared" si="14"/>
        <v>10274</v>
      </c>
      <c r="AR72" s="60">
        <f t="shared" si="16"/>
        <v>1791646.6099999999</v>
      </c>
      <c r="AS72" s="59">
        <f>+AI72*(1+'[1]Proforma 2026'!$AS$2)</f>
        <v>2199.9410743801654</v>
      </c>
      <c r="AT72" s="60">
        <f t="shared" si="17"/>
        <v>346206.66144628095</v>
      </c>
      <c r="AU72" s="61">
        <f t="shared" si="15"/>
        <v>45932</v>
      </c>
    </row>
    <row r="73" spans="1:47" ht="15.6" x14ac:dyDescent="0.3">
      <c r="A73" s="16" t="s">
        <v>623</v>
      </c>
      <c r="B73" s="48" t="s">
        <v>624</v>
      </c>
      <c r="D73" s="4" t="s">
        <v>52</v>
      </c>
      <c r="E73" s="4"/>
      <c r="F73" s="4"/>
      <c r="G73" s="4"/>
      <c r="H73" s="4"/>
      <c r="I73" s="12" t="s">
        <v>70</v>
      </c>
      <c r="J73" s="12" t="s">
        <v>136</v>
      </c>
      <c r="L73" s="7">
        <v>45932</v>
      </c>
      <c r="M73" s="8" t="s">
        <v>625</v>
      </c>
      <c r="N73" s="9">
        <v>2</v>
      </c>
      <c r="O73" s="49">
        <f t="shared" si="9"/>
        <v>46053</v>
      </c>
      <c r="P73" s="50">
        <f t="shared" si="10"/>
        <v>46060</v>
      </c>
      <c r="Q73" s="10">
        <v>46100</v>
      </c>
      <c r="R73" s="10">
        <v>46114</v>
      </c>
      <c r="S73" s="8" t="s">
        <v>626</v>
      </c>
      <c r="T73" s="8" t="s">
        <v>627</v>
      </c>
      <c r="U73" s="8" t="s">
        <v>628</v>
      </c>
      <c r="V73" s="51" t="s">
        <v>629</v>
      </c>
      <c r="W73" s="11">
        <v>45908601</v>
      </c>
      <c r="X73" s="12" t="s">
        <v>630</v>
      </c>
      <c r="Y73" s="12" t="s">
        <v>538</v>
      </c>
      <c r="Z73" s="12" t="s">
        <v>323</v>
      </c>
      <c r="AA73" s="13">
        <v>77098</v>
      </c>
      <c r="AB73" s="52" t="s">
        <v>64</v>
      </c>
      <c r="AD73" s="12" t="s">
        <v>65</v>
      </c>
      <c r="AE73" s="54">
        <v>23694</v>
      </c>
      <c r="AF73" s="62">
        <v>3554</v>
      </c>
      <c r="AG73" s="56">
        <f t="shared" si="11"/>
        <v>20140</v>
      </c>
      <c r="AH73" s="57">
        <v>18708.55</v>
      </c>
      <c r="AI73" s="58">
        <f t="shared" si="12"/>
        <v>4120.2066115702482</v>
      </c>
      <c r="AJ73" s="57">
        <v>7108.2</v>
      </c>
      <c r="AK73" s="74">
        <v>45936</v>
      </c>
      <c r="AL73" s="57">
        <f t="shared" si="13"/>
        <v>16585.8</v>
      </c>
      <c r="AM73" s="23">
        <v>46062</v>
      </c>
      <c r="AN73" s="5" t="s">
        <v>66</v>
      </c>
      <c r="AO73" s="5" t="s">
        <v>91</v>
      </c>
      <c r="AQ73" s="59">
        <f t="shared" si="14"/>
        <v>23694</v>
      </c>
      <c r="AR73" s="60">
        <f t="shared" si="16"/>
        <v>1815340.6099999999</v>
      </c>
      <c r="AS73" s="59">
        <f>+AI73*(1+'[1]Proforma 2026'!$AS$2)</f>
        <v>4594.030371900827</v>
      </c>
      <c r="AT73" s="60">
        <f t="shared" si="17"/>
        <v>350800.69181818177</v>
      </c>
      <c r="AU73" s="61">
        <f t="shared" si="15"/>
        <v>45932</v>
      </c>
    </row>
  </sheetData>
  <conditionalFormatting sqref="A1:A73">
    <cfRule type="duplicateValues" dxfId="5" priority="1"/>
  </conditionalFormatting>
  <conditionalFormatting sqref="A1:A73">
    <cfRule type="duplicateValues" dxfId="4" priority="2"/>
    <cfRule type="duplicateValues" dxfId="3" priority="3"/>
    <cfRule type="duplicateValues" dxfId="1" priority="4"/>
    <cfRule type="duplicateValues" dxfId="2" priority="5"/>
  </conditionalFormatting>
  <conditionalFormatting sqref="A1:A73">
    <cfRule type="duplicateValues" dxfId="0" priority="6"/>
  </conditionalFormatting>
  <hyperlinks>
    <hyperlink ref="V47" r:id="rId1" xr:uid="{76E156DA-008C-4B6D-98AC-8E95EA8005AD}"/>
    <hyperlink ref="V14" r:id="rId2" display="mailto:Kristin@mccabeworld.com" xr:uid="{3F5729E9-183A-4430-831F-B1E13BA1AB16}"/>
    <hyperlink ref="V70" r:id="rId3" xr:uid="{E01FB1FD-1483-4FEC-BAD5-7DAF2D595C13}"/>
    <hyperlink ref="V55" r:id="rId4" xr:uid="{CE94EE05-3364-4124-9934-1CBCA70DA660}"/>
    <hyperlink ref="V53" r:id="rId5" xr:uid="{B2B73600-C6B2-4625-95F6-300037A3287E}"/>
    <hyperlink ref="V34" r:id="rId6" xr:uid="{08C3AACB-CB54-4C82-898F-66154980FF5C}"/>
    <hyperlink ref="V29" r:id="rId7" xr:uid="{C6190F29-26FE-4737-8C35-92A476FDEC9A}"/>
    <hyperlink ref="V28" r:id="rId8" xr:uid="{51136780-AD6F-435A-B051-13740B917C26}"/>
    <hyperlink ref="V24" r:id="rId9" xr:uid="{9B80DBDF-F891-4F65-8B53-1A81D675D840}"/>
    <hyperlink ref="V22" r:id="rId10" xr:uid="{F51375FC-697A-40B0-B95E-941B5D914CAB}"/>
    <hyperlink ref="V19" r:id="rId11" xr:uid="{B09EE1A1-9B17-4016-A2B6-1436CF233086}"/>
    <hyperlink ref="V6" r:id="rId12" xr:uid="{6F4A6893-2043-4F75-9348-421324478906}"/>
    <hyperlink ref="V4" r:id="rId13" xr:uid="{47D5858B-D068-492C-8E36-96B46BCC360F}"/>
    <hyperlink ref="V8" r:id="rId14" xr:uid="{EA98A948-5C62-4A91-82D3-622EB41BABD9}"/>
  </hyperlinks>
  <pageMargins left="0.7" right="0.7" top="0.75" bottom="0.75" header="0.3" footer="0.3"/>
  <legacy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Bautista</dc:creator>
  <cp:lastModifiedBy>Rebecca Bautista</cp:lastModifiedBy>
  <dcterms:created xsi:type="dcterms:W3CDTF">2026-07-27T09:56:22Z</dcterms:created>
  <dcterms:modified xsi:type="dcterms:W3CDTF">2026-07-27T09:57:15Z</dcterms:modified>
</cp:coreProperties>
</file>