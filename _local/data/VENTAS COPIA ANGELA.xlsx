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deforspain-my.sharepoint.com/personal/r_bautista_madeforspainandportugal_com/Documents/Escritorio/"/>
    </mc:Choice>
  </mc:AlternateContent>
  <xr:revisionPtr revIDLastSave="0" documentId="8_{7BFC2AAB-48F1-4B26-81BB-76D06116F142}" xr6:coauthVersionLast="47" xr6:coauthVersionMax="47" xr10:uidLastSave="{00000000-0000-0000-0000-000000000000}"/>
  <bookViews>
    <workbookView xWindow="-108" yWindow="-108" windowWidth="23256" windowHeight="12456" xr2:uid="{296BFFC9-B6DA-4532-AE26-8CA55A56B9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71" i="1" l="1"/>
  <c r="S72" i="1" s="1"/>
  <c r="M71" i="1"/>
  <c r="L71" i="1"/>
  <c r="K71" i="1"/>
  <c r="E71" i="1"/>
  <c r="T70" i="1"/>
  <c r="R70" i="1"/>
  <c r="P70" i="1"/>
  <c r="O70" i="1"/>
  <c r="Q70" i="1" s="1"/>
  <c r="N70" i="1"/>
  <c r="M70" i="1"/>
  <c r="J70" i="1"/>
  <c r="O69" i="1"/>
  <c r="N69" i="1"/>
  <c r="M69" i="1"/>
  <c r="J69" i="1"/>
  <c r="S68" i="1"/>
  <c r="M68" i="1"/>
  <c r="L68" i="1"/>
  <c r="K68" i="1"/>
  <c r="E68" i="1"/>
  <c r="M67" i="1"/>
  <c r="N67" i="1" s="1"/>
  <c r="J67" i="1"/>
  <c r="R66" i="1"/>
  <c r="Q66" i="1"/>
  <c r="O66" i="1"/>
  <c r="N66" i="1"/>
  <c r="P66" i="1" s="1"/>
  <c r="M66" i="1"/>
  <c r="J66" i="1"/>
  <c r="S65" i="1"/>
  <c r="L65" i="1"/>
  <c r="L72" i="1" s="1"/>
  <c r="K65" i="1"/>
  <c r="E65" i="1"/>
  <c r="M64" i="1"/>
  <c r="J64" i="1"/>
  <c r="S63" i="1"/>
  <c r="M63" i="1"/>
  <c r="L63" i="1"/>
  <c r="K63" i="1"/>
  <c r="E63" i="1"/>
  <c r="E72" i="1" s="1"/>
  <c r="M62" i="1"/>
  <c r="N62" i="1" s="1"/>
  <c r="S61" i="1"/>
  <c r="L61" i="1"/>
  <c r="K61" i="1"/>
  <c r="E61" i="1"/>
  <c r="M60" i="1"/>
  <c r="M61" i="1" s="1"/>
  <c r="J60" i="1"/>
  <c r="M59" i="1"/>
  <c r="N59" i="1" s="1"/>
  <c r="J59" i="1"/>
  <c r="T58" i="1"/>
  <c r="R58" i="1"/>
  <c r="Q58" i="1"/>
  <c r="P58" i="1"/>
  <c r="O58" i="1"/>
  <c r="N58" i="1"/>
  <c r="M58" i="1"/>
  <c r="J58" i="1"/>
  <c r="S57" i="1"/>
  <c r="L57" i="1"/>
  <c r="K57" i="1"/>
  <c r="E57" i="1"/>
  <c r="M56" i="1"/>
  <c r="N56" i="1" s="1"/>
  <c r="J56" i="1"/>
  <c r="M55" i="1"/>
  <c r="N55" i="1" s="1"/>
  <c r="J55" i="1"/>
  <c r="P54" i="1"/>
  <c r="R54" i="1" s="1"/>
  <c r="N54" i="1"/>
  <c r="O54" i="1" s="1"/>
  <c r="Q54" i="1" s="1"/>
  <c r="M54" i="1"/>
  <c r="J54" i="1"/>
  <c r="M53" i="1"/>
  <c r="N53" i="1" s="1"/>
  <c r="J53" i="1"/>
  <c r="M52" i="1"/>
  <c r="N52" i="1" s="1"/>
  <c r="J52" i="1"/>
  <c r="P51" i="1"/>
  <c r="R51" i="1" s="1"/>
  <c r="N51" i="1"/>
  <c r="O51" i="1" s="1"/>
  <c r="M51" i="1"/>
  <c r="J51" i="1"/>
  <c r="M50" i="1"/>
  <c r="N50" i="1" s="1"/>
  <c r="J50" i="1"/>
  <c r="M49" i="1"/>
  <c r="N49" i="1" s="1"/>
  <c r="J49" i="1"/>
  <c r="R48" i="1"/>
  <c r="P48" i="1"/>
  <c r="N48" i="1"/>
  <c r="O48" i="1" s="1"/>
  <c r="Q48" i="1" s="1"/>
  <c r="M48" i="1"/>
  <c r="J48" i="1"/>
  <c r="S46" i="1"/>
  <c r="N46" i="1"/>
  <c r="M46" i="1"/>
  <c r="L46" i="1"/>
  <c r="L47" i="1" s="1"/>
  <c r="K46" i="1"/>
  <c r="E46" i="1"/>
  <c r="E47" i="1" s="1"/>
  <c r="M45" i="1"/>
  <c r="N45" i="1" s="1"/>
  <c r="J45" i="1"/>
  <c r="T44" i="1"/>
  <c r="R44" i="1"/>
  <c r="P44" i="1"/>
  <c r="N44" i="1"/>
  <c r="O44" i="1" s="1"/>
  <c r="M44" i="1"/>
  <c r="J44" i="1"/>
  <c r="S43" i="1"/>
  <c r="L43" i="1"/>
  <c r="K43" i="1"/>
  <c r="E43" i="1"/>
  <c r="M42" i="1"/>
  <c r="M43" i="1" s="1"/>
  <c r="J42" i="1"/>
  <c r="S41" i="1"/>
  <c r="S47" i="1" s="1"/>
  <c r="L41" i="1"/>
  <c r="K41" i="1"/>
  <c r="K47" i="1" s="1"/>
  <c r="E41" i="1"/>
  <c r="M40" i="1"/>
  <c r="N40" i="1" s="1"/>
  <c r="J40" i="1"/>
  <c r="P39" i="1"/>
  <c r="R39" i="1" s="1"/>
  <c r="N39" i="1"/>
  <c r="O39" i="1" s="1"/>
  <c r="Q39" i="1" s="1"/>
  <c r="M39" i="1"/>
  <c r="J39" i="1"/>
  <c r="M38" i="1"/>
  <c r="N38" i="1" s="1"/>
  <c r="J38" i="1"/>
  <c r="M37" i="1"/>
  <c r="N37" i="1" s="1"/>
  <c r="J37" i="1"/>
  <c r="R36" i="1"/>
  <c r="P36" i="1"/>
  <c r="N36" i="1"/>
  <c r="O36" i="1" s="1"/>
  <c r="Q36" i="1" s="1"/>
  <c r="M36" i="1"/>
  <c r="J36" i="1"/>
  <c r="M35" i="1"/>
  <c r="J35" i="1"/>
  <c r="S34" i="1"/>
  <c r="M34" i="1"/>
  <c r="L34" i="1"/>
  <c r="K34" i="1"/>
  <c r="E34" i="1"/>
  <c r="M33" i="1"/>
  <c r="N33" i="1" s="1"/>
  <c r="J33" i="1"/>
  <c r="S32" i="1"/>
  <c r="L32" i="1"/>
  <c r="K32" i="1"/>
  <c r="E32" i="1"/>
  <c r="P31" i="1"/>
  <c r="O31" i="1"/>
  <c r="N31" i="1"/>
  <c r="M31" i="1"/>
  <c r="J31" i="1"/>
  <c r="M30" i="1"/>
  <c r="M32" i="1" s="1"/>
  <c r="J30" i="1"/>
  <c r="T29" i="1"/>
  <c r="R29" i="1"/>
  <c r="P29" i="1"/>
  <c r="N29" i="1"/>
  <c r="O29" i="1" s="1"/>
  <c r="M29" i="1"/>
  <c r="J29" i="1"/>
  <c r="S28" i="1"/>
  <c r="L28" i="1"/>
  <c r="K28" i="1"/>
  <c r="E28" i="1"/>
  <c r="N27" i="1"/>
  <c r="M27" i="1"/>
  <c r="J27" i="1"/>
  <c r="M26" i="1"/>
  <c r="N26" i="1" s="1"/>
  <c r="J26" i="1"/>
  <c r="M25" i="1"/>
  <c r="N25" i="1" s="1"/>
  <c r="J25" i="1"/>
  <c r="M24" i="1"/>
  <c r="N24" i="1" s="1"/>
  <c r="J24" i="1"/>
  <c r="M23" i="1"/>
  <c r="N23" i="1" s="1"/>
  <c r="J23" i="1"/>
  <c r="M22" i="1"/>
  <c r="N22" i="1" s="1"/>
  <c r="J22" i="1"/>
  <c r="M21" i="1"/>
  <c r="N21" i="1" s="1"/>
  <c r="J21" i="1"/>
  <c r="M20" i="1"/>
  <c r="N20" i="1" s="1"/>
  <c r="J20" i="1"/>
  <c r="M19" i="1"/>
  <c r="N19" i="1" s="1"/>
  <c r="J19" i="1"/>
  <c r="M18" i="1"/>
  <c r="N18" i="1" s="1"/>
  <c r="J18" i="1"/>
  <c r="M17" i="1"/>
  <c r="N17" i="1" s="1"/>
  <c r="J17" i="1"/>
  <c r="M16" i="1"/>
  <c r="N16" i="1" s="1"/>
  <c r="O16" i="1" s="1"/>
  <c r="J16" i="1"/>
  <c r="M15" i="1"/>
  <c r="N15" i="1" s="1"/>
  <c r="J15" i="1"/>
  <c r="M14" i="1"/>
  <c r="N14" i="1" s="1"/>
  <c r="J14" i="1"/>
  <c r="M13" i="1"/>
  <c r="N13" i="1" s="1"/>
  <c r="O13" i="1" s="1"/>
  <c r="J13" i="1"/>
  <c r="M12" i="1"/>
  <c r="N12" i="1" s="1"/>
  <c r="J12" i="1"/>
  <c r="M11" i="1"/>
  <c r="N11" i="1" s="1"/>
  <c r="J11" i="1"/>
  <c r="M10" i="1"/>
  <c r="N10" i="1" s="1"/>
  <c r="O10" i="1" s="1"/>
  <c r="J10" i="1"/>
  <c r="M9" i="1"/>
  <c r="N9" i="1" s="1"/>
  <c r="J9" i="1"/>
  <c r="M8" i="1"/>
  <c r="N8" i="1" s="1"/>
  <c r="J8" i="1"/>
  <c r="M7" i="1"/>
  <c r="N7" i="1" s="1"/>
  <c r="O7" i="1" s="1"/>
  <c r="J7" i="1"/>
  <c r="M6" i="1"/>
  <c r="J6" i="1"/>
  <c r="M5" i="1"/>
  <c r="N5" i="1" s="1"/>
  <c r="J5" i="1"/>
  <c r="P18" i="1" l="1"/>
  <c r="R18" i="1" s="1"/>
  <c r="O18" i="1"/>
  <c r="P50" i="1"/>
  <c r="R50" i="1" s="1"/>
  <c r="O50" i="1"/>
  <c r="Q50" i="1" s="1"/>
  <c r="Q10" i="1"/>
  <c r="Q16" i="1"/>
  <c r="P38" i="1"/>
  <c r="T38" i="1" s="1"/>
  <c r="O38" i="1"/>
  <c r="P12" i="1"/>
  <c r="R12" i="1" s="1"/>
  <c r="T12" i="1"/>
  <c r="O12" i="1"/>
  <c r="Q12" i="1" s="1"/>
  <c r="P24" i="1"/>
  <c r="T24" i="1" s="1"/>
  <c r="O24" i="1"/>
  <c r="Q24" i="1" s="1"/>
  <c r="Q7" i="1"/>
  <c r="P9" i="1"/>
  <c r="R9" i="1"/>
  <c r="T9" i="1"/>
  <c r="O9" i="1"/>
  <c r="Q9" i="1" s="1"/>
  <c r="P15" i="1"/>
  <c r="R15" i="1"/>
  <c r="T15" i="1"/>
  <c r="O15" i="1"/>
  <c r="Q15" i="1" s="1"/>
  <c r="T21" i="1"/>
  <c r="P21" i="1"/>
  <c r="R21" i="1" s="1"/>
  <c r="O21" i="1"/>
  <c r="Q21" i="1" s="1"/>
  <c r="P5" i="1"/>
  <c r="T5" i="1" s="1"/>
  <c r="O5" i="1"/>
  <c r="P8" i="1"/>
  <c r="T8" i="1" s="1"/>
  <c r="O8" i="1"/>
  <c r="T11" i="1"/>
  <c r="P11" i="1"/>
  <c r="R11" i="1" s="1"/>
  <c r="O11" i="1"/>
  <c r="Q11" i="1" s="1"/>
  <c r="P14" i="1"/>
  <c r="R14" i="1" s="1"/>
  <c r="O14" i="1"/>
  <c r="Q14" i="1" s="1"/>
  <c r="P17" i="1"/>
  <c r="T17" i="1" s="1"/>
  <c r="O17" i="1"/>
  <c r="P27" i="1"/>
  <c r="T27" i="1" s="1"/>
  <c r="P56" i="1"/>
  <c r="T56" i="1" s="1"/>
  <c r="R56" i="1"/>
  <c r="O56" i="1"/>
  <c r="Q56" i="1" s="1"/>
  <c r="P67" i="1"/>
  <c r="T67" i="1" s="1"/>
  <c r="N68" i="1"/>
  <c r="O67" i="1"/>
  <c r="O68" i="1" s="1"/>
  <c r="O27" i="1"/>
  <c r="P52" i="1"/>
  <c r="T52" i="1" s="1"/>
  <c r="O52" i="1"/>
  <c r="Q52" i="1" s="1"/>
  <c r="M41" i="1"/>
  <c r="M47" i="1" s="1"/>
  <c r="P49" i="1"/>
  <c r="T49" i="1" s="1"/>
  <c r="O49" i="1"/>
  <c r="Q49" i="1" s="1"/>
  <c r="Q57" i="1" s="1"/>
  <c r="T53" i="1"/>
  <c r="R53" i="1"/>
  <c r="P53" i="1"/>
  <c r="O53" i="1"/>
  <c r="Q53" i="1" s="1"/>
  <c r="Q44" i="1"/>
  <c r="Q46" i="1" s="1"/>
  <c r="O46" i="1"/>
  <c r="N57" i="1"/>
  <c r="P59" i="1"/>
  <c r="R59" i="1" s="1"/>
  <c r="O59" i="1"/>
  <c r="P22" i="1"/>
  <c r="T22" i="1" s="1"/>
  <c r="O22" i="1"/>
  <c r="N42" i="1"/>
  <c r="K72" i="1"/>
  <c r="M28" i="1"/>
  <c r="N35" i="1"/>
  <c r="P25" i="1"/>
  <c r="R25" i="1" s="1"/>
  <c r="O25" i="1"/>
  <c r="Q25" i="1" s="1"/>
  <c r="P19" i="1"/>
  <c r="T19" i="1" s="1"/>
  <c r="O19" i="1"/>
  <c r="P33" i="1"/>
  <c r="P34" i="1" s="1"/>
  <c r="O33" i="1"/>
  <c r="N34" i="1"/>
  <c r="P7" i="1"/>
  <c r="P10" i="1"/>
  <c r="P13" i="1"/>
  <c r="P16" i="1"/>
  <c r="T25" i="1"/>
  <c r="R31" i="1"/>
  <c r="T31" i="1"/>
  <c r="N60" i="1"/>
  <c r="T66" i="1"/>
  <c r="P62" i="1"/>
  <c r="P63" i="1" s="1"/>
  <c r="O62" i="1"/>
  <c r="N63" i="1"/>
  <c r="N6" i="1"/>
  <c r="M57" i="1"/>
  <c r="Q31" i="1"/>
  <c r="P69" i="1"/>
  <c r="P71" i="1" s="1"/>
  <c r="T69" i="1"/>
  <c r="N71" i="1"/>
  <c r="R69" i="1"/>
  <c r="P26" i="1"/>
  <c r="T26" i="1" s="1"/>
  <c r="O26" i="1"/>
  <c r="Q26" i="1" s="1"/>
  <c r="T45" i="1"/>
  <c r="R45" i="1"/>
  <c r="P45" i="1"/>
  <c r="P46" i="1" s="1"/>
  <c r="O45" i="1"/>
  <c r="Q45" i="1" s="1"/>
  <c r="N61" i="1"/>
  <c r="O71" i="1"/>
  <c r="Q69" i="1"/>
  <c r="Q71" i="1" s="1"/>
  <c r="P23" i="1"/>
  <c r="R23" i="1" s="1"/>
  <c r="O23" i="1"/>
  <c r="Q23" i="1" s="1"/>
  <c r="T40" i="1"/>
  <c r="R40" i="1"/>
  <c r="P40" i="1"/>
  <c r="O40" i="1"/>
  <c r="Q40" i="1" s="1"/>
  <c r="Q51" i="1"/>
  <c r="P55" i="1"/>
  <c r="R55" i="1" s="1"/>
  <c r="O55" i="1"/>
  <c r="Q55" i="1" s="1"/>
  <c r="M65" i="1"/>
  <c r="N64" i="1"/>
  <c r="T20" i="1"/>
  <c r="R20" i="1"/>
  <c r="P20" i="1"/>
  <c r="O20" i="1"/>
  <c r="Q20" i="1" s="1"/>
  <c r="Q29" i="1"/>
  <c r="P37" i="1"/>
  <c r="T37" i="1" s="1"/>
  <c r="O37" i="1"/>
  <c r="Q37" i="1" s="1"/>
  <c r="T36" i="1"/>
  <c r="T39" i="1"/>
  <c r="N30" i="1"/>
  <c r="T48" i="1"/>
  <c r="T51" i="1"/>
  <c r="T54" i="1"/>
  <c r="T46" i="1" l="1"/>
  <c r="R46" i="1"/>
  <c r="P6" i="1"/>
  <c r="T6" i="1"/>
  <c r="R6" i="1"/>
  <c r="O6" i="1"/>
  <c r="Q6" i="1" s="1"/>
  <c r="R26" i="1"/>
  <c r="T63" i="1"/>
  <c r="R63" i="1"/>
  <c r="R49" i="1"/>
  <c r="T23" i="1"/>
  <c r="Q62" i="1"/>
  <c r="Q63" i="1" s="1"/>
  <c r="O63" i="1"/>
  <c r="Q5" i="1"/>
  <c r="T55" i="1"/>
  <c r="T7" i="1"/>
  <c r="R7" i="1"/>
  <c r="P68" i="1"/>
  <c r="R68" i="1" s="1"/>
  <c r="T34" i="1"/>
  <c r="R34" i="1"/>
  <c r="Q33" i="1"/>
  <c r="Q34" i="1" s="1"/>
  <c r="O34" i="1"/>
  <c r="R52" i="1"/>
  <c r="N28" i="1"/>
  <c r="T50" i="1"/>
  <c r="M72" i="1"/>
  <c r="R17" i="1"/>
  <c r="T13" i="1"/>
  <c r="R13" i="1"/>
  <c r="R24" i="1"/>
  <c r="T10" i="1"/>
  <c r="R10" i="1"/>
  <c r="T14" i="1"/>
  <c r="P57" i="1"/>
  <c r="T57" i="1" s="1"/>
  <c r="P60" i="1"/>
  <c r="P61" i="1" s="1"/>
  <c r="R60" i="1"/>
  <c r="O60" i="1"/>
  <c r="Q60" i="1" s="1"/>
  <c r="T60" i="1"/>
  <c r="O57" i="1"/>
  <c r="R27" i="1"/>
  <c r="Q18" i="1"/>
  <c r="R22" i="1"/>
  <c r="R67" i="1"/>
  <c r="R8" i="1"/>
  <c r="O35" i="1"/>
  <c r="N41" i="1"/>
  <c r="P35" i="1"/>
  <c r="P41" i="1" s="1"/>
  <c r="P47" i="1" s="1"/>
  <c r="R35" i="1"/>
  <c r="R37" i="1"/>
  <c r="P28" i="1"/>
  <c r="R62" i="1"/>
  <c r="T33" i="1"/>
  <c r="R33" i="1"/>
  <c r="Q27" i="1"/>
  <c r="T62" i="1"/>
  <c r="R38" i="1"/>
  <c r="T18" i="1"/>
  <c r="O64" i="1"/>
  <c r="T64" i="1"/>
  <c r="P64" i="1"/>
  <c r="P65" i="1" s="1"/>
  <c r="N65" i="1"/>
  <c r="Q59" i="1"/>
  <c r="T16" i="1"/>
  <c r="R16" i="1"/>
  <c r="T59" i="1"/>
  <c r="R71" i="1"/>
  <c r="N72" i="1"/>
  <c r="T71" i="1"/>
  <c r="R5" i="1"/>
  <c r="N43" i="1"/>
  <c r="P42" i="1"/>
  <c r="P43" i="1" s="1"/>
  <c r="T42" i="1"/>
  <c r="R42" i="1"/>
  <c r="O42" i="1"/>
  <c r="Q67" i="1"/>
  <c r="Q68" i="1" s="1"/>
  <c r="Q38" i="1"/>
  <c r="N32" i="1"/>
  <c r="P30" i="1"/>
  <c r="P32" i="1" s="1"/>
  <c r="O30" i="1"/>
  <c r="R19" i="1"/>
  <c r="Q19" i="1"/>
  <c r="Q22" i="1"/>
  <c r="Q17" i="1"/>
  <c r="Q8" i="1"/>
  <c r="Q13" i="1"/>
  <c r="R61" i="1" l="1"/>
  <c r="T61" i="1"/>
  <c r="P72" i="1"/>
  <c r="R30" i="1"/>
  <c r="T30" i="1"/>
  <c r="T32" i="1"/>
  <c r="R32" i="1"/>
  <c r="Q42" i="1"/>
  <c r="Q43" i="1" s="1"/>
  <c r="O43" i="1"/>
  <c r="T28" i="1"/>
  <c r="R28" i="1"/>
  <c r="T41" i="1"/>
  <c r="R41" i="1"/>
  <c r="N47" i="1"/>
  <c r="T68" i="1"/>
  <c r="Q28" i="1"/>
  <c r="T72" i="1"/>
  <c r="R72" i="1"/>
  <c r="T35" i="1"/>
  <c r="O41" i="1"/>
  <c r="Q35" i="1"/>
  <c r="Q41" i="1" s="1"/>
  <c r="Q61" i="1"/>
  <c r="R65" i="1"/>
  <c r="T65" i="1"/>
  <c r="R57" i="1"/>
  <c r="T43" i="1"/>
  <c r="R43" i="1"/>
  <c r="R64" i="1"/>
  <c r="Q64" i="1"/>
  <c r="Q65" i="1" s="1"/>
  <c r="O65" i="1"/>
  <c r="O61" i="1"/>
  <c r="O28" i="1"/>
  <c r="Q30" i="1"/>
  <c r="Q32" i="1" s="1"/>
  <c r="O32" i="1"/>
  <c r="Q47" i="1" l="1"/>
  <c r="Q72" i="1"/>
  <c r="O47" i="1"/>
  <c r="T47" i="1"/>
  <c r="R47" i="1"/>
  <c r="O7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Rebecca Bautista</author>
  </authors>
  <commentList>
    <comment ref="L39" authorId="0" shapeId="0" xr:uid="{9A791438-C97E-4EDD-AA6A-85A552FCE7BE}">
      <text>
        <r>
          <rPr>
            <b/>
            <sz val="9"/>
            <color indexed="81"/>
            <rFont val="Tahoma"/>
            <family val="2"/>
          </rPr>
          <t>Rebecca Bautista:</t>
        </r>
        <r>
          <rPr>
            <sz val="9"/>
            <color indexed="81"/>
            <rFont val="Tahoma"/>
            <family val="2"/>
          </rPr>
          <t xml:space="preserve">
MEDUQU- no reclamar, Pagado por Jacada por link de pago del hotel</t>
        </r>
      </text>
    </comment>
    <comment ref="K51" authorId="0" shapeId="0" xr:uid="{7CDD339A-B0A5-4F7A-84CB-54D112C909A7}">
      <text>
        <r>
          <rPr>
            <b/>
            <sz val="9"/>
            <color indexed="81"/>
            <rFont val="Tahoma"/>
            <family val="2"/>
          </rPr>
          <t>Rebecca Bautista:</t>
        </r>
        <r>
          <rPr>
            <sz val="9"/>
            <color indexed="81"/>
            <rFont val="Tahoma"/>
            <family val="2"/>
          </rPr>
          <t xml:space="preserve">
hay dev. Por awalex, </t>
        </r>
      </text>
    </comment>
    <comment ref="S66" authorId="0" shapeId="0" xr:uid="{FC9C96C3-7470-463F-9587-8D5ADB951115}">
      <text>
        <r>
          <rPr>
            <b/>
            <sz val="9"/>
            <color indexed="81"/>
            <rFont val="Tahoma"/>
            <family val="2"/>
          </rPr>
          <t>Rebecca Bautista:</t>
        </r>
        <r>
          <rPr>
            <sz val="9"/>
            <color indexed="81"/>
            <rFont val="Tahoma"/>
            <family val="2"/>
          </rPr>
          <t xml:space="preserve">
comision original: 958</t>
        </r>
      </text>
    </comment>
  </commentList>
</comments>
</file>

<file path=xl/sharedStrings.xml><?xml version="1.0" encoding="utf-8"?>
<sst xmlns="http://schemas.openxmlformats.org/spreadsheetml/2006/main" count="376" uniqueCount="235">
  <si>
    <t>MADE FOR SPAIN AND PORTUGAL  -  RELACIÓN DE VENTAS 2026</t>
  </si>
  <si>
    <t>FECHAS INICIO / FIN VIAJE</t>
  </si>
  <si>
    <t>%</t>
  </si>
  <si>
    <t>COMISSION</t>
  </si>
  <si>
    <t>MFSP</t>
  </si>
  <si>
    <t># REF</t>
  </si>
  <si>
    <t>Agencia</t>
  </si>
  <si>
    <t>Cliente</t>
  </si>
  <si>
    <t>Pax</t>
  </si>
  <si>
    <t>MfS Sales</t>
  </si>
  <si>
    <t>Grupo</t>
  </si>
  <si>
    <t>Check in</t>
  </si>
  <si>
    <t>Check out</t>
  </si>
  <si>
    <t>Mes</t>
  </si>
  <si>
    <t>TOTAL PVP</t>
  </si>
  <si>
    <t>TOTAL COST</t>
  </si>
  <si>
    <t>GROSS PROFIT</t>
  </si>
  <si>
    <t>NET PROFIT</t>
  </si>
  <si>
    <t xml:space="preserve"> IVA 21%</t>
  </si>
  <si>
    <t>NET SALE</t>
  </si>
  <si>
    <t>Gross Margin</t>
  </si>
  <si>
    <t>€</t>
  </si>
  <si>
    <t>NET Margin</t>
  </si>
  <si>
    <t>MFSP146333</t>
  </si>
  <si>
    <t>PROT15</t>
  </si>
  <si>
    <t>Provident Travel Corporation</t>
  </si>
  <si>
    <t>Splain</t>
  </si>
  <si>
    <t>Teo</t>
  </si>
  <si>
    <t xml:space="preserve">Virtuoso </t>
  </si>
  <si>
    <t>MFSP148121</t>
  </si>
  <si>
    <t xml:space="preserve">037164 </t>
  </si>
  <si>
    <t>Haute Black</t>
  </si>
  <si>
    <t>Saunders family</t>
  </si>
  <si>
    <t>Pilar</t>
  </si>
  <si>
    <t>MFSP147176</t>
  </si>
  <si>
    <t xml:space="preserve">TREXPE </t>
  </si>
  <si>
    <t>Travel Experts Inc.</t>
  </si>
  <si>
    <t>Kesslen Family</t>
  </si>
  <si>
    <t>María</t>
  </si>
  <si>
    <t>MFSP148454</t>
  </si>
  <si>
    <t xml:space="preserve">PROT16 </t>
  </si>
  <si>
    <t xml:space="preserve">Provident Travel Corporation </t>
  </si>
  <si>
    <t>Ullman</t>
  </si>
  <si>
    <t>Marta</t>
  </si>
  <si>
    <t>MFSP148056</t>
  </si>
  <si>
    <t>FORETA</t>
  </si>
  <si>
    <t>Forest Travel Agency</t>
  </si>
  <si>
    <t>Bosch</t>
  </si>
  <si>
    <t>Yaiza</t>
  </si>
  <si>
    <t>MFSP147994</t>
  </si>
  <si>
    <t>Cracas Family</t>
  </si>
  <si>
    <t>MFSP147091</t>
  </si>
  <si>
    <t>Valerie Wilson Travel</t>
  </si>
  <si>
    <t>Deborah Sternberg Roth</t>
  </si>
  <si>
    <t>MFSP148664</t>
  </si>
  <si>
    <t>Travel Experts Inc</t>
  </si>
  <si>
    <t>Yormak</t>
  </si>
  <si>
    <t>Daniel</t>
  </si>
  <si>
    <t>MFSP148602</t>
  </si>
  <si>
    <t xml:space="preserve">BLACKS </t>
  </si>
  <si>
    <t>Black Sheep Travels</t>
  </si>
  <si>
    <t>Olbrys family</t>
  </si>
  <si>
    <t>MFSP148926</t>
  </si>
  <si>
    <t>Rubenstein</t>
  </si>
  <si>
    <t>MFSP148648</t>
  </si>
  <si>
    <t xml:space="preserve">KNIGHT </t>
  </si>
  <si>
    <t>Knightsbridge Circle</t>
  </si>
  <si>
    <t>Melkus &amp; Tarroch</t>
  </si>
  <si>
    <t>MFSP148962</t>
  </si>
  <si>
    <t>MCCAB5</t>
  </si>
  <si>
    <t>Kelly Shea Travels</t>
  </si>
  <si>
    <t>Resnick</t>
  </si>
  <si>
    <t>MFSP149329</t>
  </si>
  <si>
    <t>BROWMO</t>
  </si>
  <si>
    <t>Brownell - Mobile</t>
  </si>
  <si>
    <t>Chappell</t>
  </si>
  <si>
    <t>MFSP149359</t>
  </si>
  <si>
    <t>NEWAC1</t>
  </si>
  <si>
    <t>New Act Travel - Los Angeles</t>
  </si>
  <si>
    <t>Reed</t>
  </si>
  <si>
    <t>Gema</t>
  </si>
  <si>
    <t>MFSP149452</t>
  </si>
  <si>
    <t>Travel Loft Ltd</t>
  </si>
  <si>
    <t>Romero Family</t>
  </si>
  <si>
    <t>MFSP149399</t>
  </si>
  <si>
    <t xml:space="preserve">TREXLR </t>
  </si>
  <si>
    <t>Luxe Recess LLC</t>
  </si>
  <si>
    <t>Allegra Smith</t>
  </si>
  <si>
    <t>MFSP149258</t>
  </si>
  <si>
    <t xml:space="preserve">TLUSTR </t>
  </si>
  <si>
    <t>TRAVELLUSTRE</t>
  </si>
  <si>
    <t>Jones</t>
  </si>
  <si>
    <t>Erika</t>
  </si>
  <si>
    <t>MFSP149678</t>
  </si>
  <si>
    <t>AVONDA</t>
  </si>
  <si>
    <t>Avondale Travel</t>
  </si>
  <si>
    <t>Leigh Elizabeth Israel</t>
  </si>
  <si>
    <t>MFSP148975</t>
  </si>
  <si>
    <t>WILS01</t>
  </si>
  <si>
    <t>Valerie Wilson Travel - New Canaan</t>
  </si>
  <si>
    <t>Smith Family</t>
  </si>
  <si>
    <t>MFSP149816</t>
  </si>
  <si>
    <t xml:space="preserve">ACCOMP </t>
  </si>
  <si>
    <t>Accomplished</t>
  </si>
  <si>
    <t>Morcos</t>
  </si>
  <si>
    <t>MFSP148827</t>
  </si>
  <si>
    <t xml:space="preserve">NOVASA </t>
  </si>
  <si>
    <t>NovaSafari</t>
  </si>
  <si>
    <t>Joppert &amp; Henrique</t>
  </si>
  <si>
    <t>MFSP150121</t>
  </si>
  <si>
    <t>AVANT1</t>
  </si>
  <si>
    <t> Avant Travel Agency, Inc.</t>
  </si>
  <si>
    <t>Avare Family</t>
  </si>
  <si>
    <t>Sandra</t>
  </si>
  <si>
    <t>MFSP149679</t>
  </si>
  <si>
    <t>JG Luxe Travel</t>
  </si>
  <si>
    <t>Maleug</t>
  </si>
  <si>
    <t>Virtuoso</t>
  </si>
  <si>
    <t>TOTAL VIRTUOSO / ENERO</t>
  </si>
  <si>
    <t>-</t>
  </si>
  <si>
    <t>enero</t>
  </si>
  <si>
    <t>MFSP144985</t>
  </si>
  <si>
    <t>CAROLS</t>
  </si>
  <si>
    <t>Carol's Travel Service, a FROSCH Company</t>
  </si>
  <si>
    <t>Riter</t>
  </si>
  <si>
    <t>Signature</t>
  </si>
  <si>
    <t>MFSP149844</t>
  </si>
  <si>
    <t xml:space="preserve">GRADVE </t>
  </si>
  <si>
    <t>Great Adventures Inc.</t>
  </si>
  <si>
    <t>Joeris Family</t>
  </si>
  <si>
    <t>MFSP149310</t>
  </si>
  <si>
    <t>FROSCH - Guttenberg</t>
  </si>
  <si>
    <t>Cornish &amp; Tharp</t>
  </si>
  <si>
    <t>TOTAL SIGNATURE / ENERO</t>
  </si>
  <si>
    <t>MFSP147136</t>
  </si>
  <si>
    <t xml:space="preserve">CREXCE </t>
  </si>
  <si>
    <t>Excel Cruises &amp; Tours</t>
  </si>
  <si>
    <t>Thomas Moran</t>
  </si>
  <si>
    <t>Ensemble</t>
  </si>
  <si>
    <t>TOTAL ENSEMBLE / ENERO</t>
  </si>
  <si>
    <t>MFSP144877</t>
  </si>
  <si>
    <t>JACADA</t>
  </si>
  <si>
    <t>Jacada Travel</t>
  </si>
  <si>
    <t>Notarfrancesco</t>
  </si>
  <si>
    <t>Otras Agen.</t>
  </si>
  <si>
    <t>MFSP147720</t>
  </si>
  <si>
    <t>Barry</t>
  </si>
  <si>
    <t>MFSP146775</t>
  </si>
  <si>
    <t> Vacation Ever After</t>
  </si>
  <si>
    <t>Shepherd</t>
  </si>
  <si>
    <t>MFSP147954</t>
  </si>
  <si>
    <t>Daggs</t>
  </si>
  <si>
    <t>MFSP148747</t>
  </si>
  <si>
    <t>Alex Rafal</t>
  </si>
  <si>
    <t>MFSP148840</t>
  </si>
  <si>
    <t xml:space="preserve">TRIPME </t>
  </si>
  <si>
    <t>TripMe</t>
  </si>
  <si>
    <t>Melissa Smith</t>
  </si>
  <si>
    <t>TOTAL OTRAS AGENCIAS / ENERO</t>
  </si>
  <si>
    <t>MFSP148545</t>
  </si>
  <si>
    <t>Private clients</t>
  </si>
  <si>
    <t>Referral/ Wendy Perrin</t>
  </si>
  <si>
    <t>Referrals</t>
  </si>
  <si>
    <t>TOTAL REFERRALS / ENERO</t>
  </si>
  <si>
    <t>MFSP142500</t>
  </si>
  <si>
    <t xml:space="preserve">Thornton </t>
  </si>
  <si>
    <t>Clare</t>
  </si>
  <si>
    <t>Private Clients</t>
  </si>
  <si>
    <t>MFSP149923</t>
  </si>
  <si>
    <t>Finn Family</t>
  </si>
  <si>
    <t>TOTAL Private Clients / ENERO</t>
  </si>
  <si>
    <t>TOTAL ENERO</t>
  </si>
  <si>
    <t>MFSP147742</t>
  </si>
  <si>
    <t>EARLET</t>
  </si>
  <si>
    <t>Earle Travel Co.</t>
  </si>
  <si>
    <t>Robb &amp; Singer</t>
  </si>
  <si>
    <t>MFSP149588</t>
  </si>
  <si>
    <t xml:space="preserve">TRAVEC </t>
  </si>
  <si>
    <t>Travelcall</t>
  </si>
  <si>
    <t>Timothy Clarke</t>
  </si>
  <si>
    <t>Azahara</t>
  </si>
  <si>
    <t>MFSP149355</t>
  </si>
  <si>
    <t>WILS09</t>
  </si>
  <si>
    <t>Valerie Wilson Travel - Purchase</t>
  </si>
  <si>
    <t>Robin and Jake Breecker</t>
  </si>
  <si>
    <t>Julia</t>
  </si>
  <si>
    <t>MFSP149882</t>
  </si>
  <si>
    <t>LAKEFO</t>
  </si>
  <si>
    <t>Lake Forest Travel Bureau</t>
  </si>
  <si>
    <t>Cook</t>
  </si>
  <si>
    <t>MFSP149835</t>
  </si>
  <si>
    <t xml:space="preserve">HUFFM1 </t>
  </si>
  <si>
    <t>Huffman Travel</t>
  </si>
  <si>
    <t>Paris</t>
  </si>
  <si>
    <t>MFSP150406</t>
  </si>
  <si>
    <t>Mungo Family</t>
  </si>
  <si>
    <t>Inmaculada</t>
  </si>
  <si>
    <t>MFSP150412</t>
  </si>
  <si>
    <t>Browning Trip</t>
  </si>
  <si>
    <t>MFSP150479</t>
  </si>
  <si>
    <t xml:space="preserve">WILS09 </t>
  </si>
  <si>
    <t>Gingold Family</t>
  </si>
  <si>
    <t>MFSP151131</t>
  </si>
  <si>
    <t>Smartflyer</t>
  </si>
  <si>
    <t>Hochberger, Ruth</t>
  </si>
  <si>
    <t>TOTAL VIRTUOSO / FEBRERO</t>
  </si>
  <si>
    <t>febrero</t>
  </si>
  <si>
    <t>MFSP150112</t>
  </si>
  <si>
    <t>CARROU</t>
  </si>
  <si>
    <t>Carrousel Travel</t>
  </si>
  <si>
    <t>Mr. Clifford &amp; Mrs. Susan Edwards</t>
  </si>
  <si>
    <t>MFOF149170</t>
  </si>
  <si>
    <t xml:space="preserve">SIGNTN </t>
  </si>
  <si>
    <t>Signature Travel Network</t>
  </si>
  <si>
    <t>Signature's 2026 Suite Club - Madrid</t>
  </si>
  <si>
    <t>MFOF150085</t>
  </si>
  <si>
    <t>Alex Malcolm</t>
  </si>
  <si>
    <t>TOTAL SIGNATURE / FEBRERO</t>
  </si>
  <si>
    <t>TOTAL ENSEMBLE / FEBRERO</t>
  </si>
  <si>
    <t>MFSP149074</t>
  </si>
  <si>
    <t>Laura Fric</t>
  </si>
  <si>
    <t>TOTAL OTRAS AGENCIAS / FEBRERO</t>
  </si>
  <si>
    <t>MFSP148887</t>
  </si>
  <si>
    <t>Leblang</t>
  </si>
  <si>
    <t>MFSP150442</t>
  </si>
  <si>
    <t>Referral/Otros</t>
  </si>
  <si>
    <t>Villere</t>
  </si>
  <si>
    <t>TOTAL REFERRALS / FEBRERO</t>
  </si>
  <si>
    <t>MFSP150380</t>
  </si>
  <si>
    <t>Kolni</t>
  </si>
  <si>
    <t>MFSP150746</t>
  </si>
  <si>
    <t>Bomze</t>
  </si>
  <si>
    <t>TOTAL PRIVATE CLIENTS / FEBRERO</t>
  </si>
  <si>
    <t>FEB</t>
  </si>
  <si>
    <t>TOTAL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</si>
</sst>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#,##0_ ;\-#,##0\ "/>
    <numFmt numFmtId="165" formatCode="_-* #,##0\ &quot;€&quot;_-;\-* #,##0\ &quot;€&quot;_-;_-* &quot;-&quot;??\ &quot;€&quot;_-;_-@_-"/>
    <numFmt numFmtId="166" formatCode="dd/mm/yyyy;@"/>
    <numFmt numFmtId="168" formatCode="0.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Garamond"/>
      <family val="1"/>
    </font>
    <font>
      <b/>
      <sz val="12"/>
      <color rgb="FFFF0000"/>
      <name val="Garamond"/>
      <family val="1"/>
    </font>
    <font>
      <sz val="12"/>
      <name val="Garamond"/>
      <family val="1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12"/>
      <color theme="1"/>
      <name val="Garamond"/>
      <family val="1"/>
    </font>
    <font>
      <sz val="12"/>
      <color theme="1"/>
      <name val="Garamond"/>
      <family val="1"/>
    </font>
    <font>
      <sz val="11"/>
      <color theme="1"/>
      <name val="Arial"/>
      <family val="2"/>
    </font>
    <font>
      <sz val="11"/>
      <color rgb="FF00B050"/>
      <name val="Arial"/>
      <family val="2"/>
    </font>
    <font>
      <sz val="12"/>
      <color rgb="FF000000"/>
      <name val="Garamond"/>
      <family val="1"/>
    </font>
    <font>
      <b/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4" fillId="0" borderId="0" xfId="0" applyFont="1"/>
    <xf numFmtId="3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top"/>
    </xf>
    <xf numFmtId="164" fontId="5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/>
    </xf>
    <xf numFmtId="9" fontId="5" fillId="0" borderId="0" xfId="0" applyNumberFormat="1" applyFont="1" applyAlignment="1">
      <alignment horizontal="center"/>
    </xf>
    <xf numFmtId="0" fontId="6" fillId="0" borderId="0" xfId="0" applyFont="1"/>
    <xf numFmtId="0" fontId="5" fillId="3" borderId="0" xfId="0" applyFont="1" applyFill="1" applyAlignment="1">
      <alignment horizontal="center"/>
    </xf>
    <xf numFmtId="0" fontId="6" fillId="3" borderId="0" xfId="0" applyFont="1" applyFill="1"/>
    <xf numFmtId="16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165" fontId="6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left" vertical="top"/>
    </xf>
    <xf numFmtId="3" fontId="7" fillId="0" borderId="2" xfId="0" applyNumberFormat="1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165" fontId="7" fillId="0" borderId="2" xfId="0" applyNumberFormat="1" applyFont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center" vertical="top"/>
    </xf>
    <xf numFmtId="0" fontId="5" fillId="0" borderId="2" xfId="0" applyFont="1" applyBorder="1" applyAlignment="1">
      <alignment horizontal="center"/>
    </xf>
    <xf numFmtId="9" fontId="5" fillId="0" borderId="2" xfId="0" applyNumberFormat="1" applyFont="1" applyBorder="1" applyAlignment="1">
      <alignment horizontal="center"/>
    </xf>
    <xf numFmtId="0" fontId="7" fillId="3" borderId="3" xfId="0" applyFont="1" applyFill="1" applyBorder="1" applyAlignment="1">
      <alignment horizontal="center" vertical="top"/>
    </xf>
    <xf numFmtId="9" fontId="5" fillId="3" borderId="3" xfId="0" applyNumberFormat="1" applyFont="1" applyFill="1" applyBorder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left"/>
    </xf>
    <xf numFmtId="166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5" fontId="10" fillId="0" borderId="0" xfId="1" applyNumberFormat="1" applyFont="1"/>
    <xf numFmtId="165" fontId="11" fillId="0" borderId="0" xfId="1" applyNumberFormat="1" applyFont="1"/>
    <xf numFmtId="165" fontId="10" fillId="2" borderId="0" xfId="1" applyNumberFormat="1" applyFont="1" applyFill="1" applyAlignment="1">
      <alignment horizontal="center"/>
    </xf>
    <xf numFmtId="165" fontId="6" fillId="0" borderId="0" xfId="1" applyNumberFormat="1" applyFont="1" applyAlignment="1">
      <alignment horizontal="center"/>
    </xf>
    <xf numFmtId="165" fontId="10" fillId="0" borderId="0" xfId="0" applyNumberFormat="1" applyFont="1"/>
    <xf numFmtId="168" fontId="10" fillId="0" borderId="0" xfId="0" applyNumberFormat="1" applyFont="1" applyAlignment="1">
      <alignment horizontal="center" vertical="top"/>
    </xf>
    <xf numFmtId="165" fontId="6" fillId="3" borderId="0" xfId="1" applyNumberFormat="1" applyFont="1" applyFill="1" applyAlignment="1">
      <alignment horizontal="center"/>
    </xf>
    <xf numFmtId="168" fontId="10" fillId="3" borderId="0" xfId="0" applyNumberFormat="1" applyFont="1" applyFill="1" applyAlignment="1">
      <alignment horizontal="center" vertical="top"/>
    </xf>
    <xf numFmtId="49" fontId="2" fillId="0" borderId="0" xfId="0" applyNumberFormat="1" applyFont="1" applyAlignment="1">
      <alignment horizontal="left"/>
    </xf>
    <xf numFmtId="0" fontId="4" fillId="0" borderId="0" xfId="0" applyFont="1" applyAlignment="1">
      <alignment horizontal="center" vertical="top"/>
    </xf>
    <xf numFmtId="0" fontId="12" fillId="0" borderId="0" xfId="0" applyFont="1" applyAlignment="1">
      <alignment horizontal="center"/>
    </xf>
    <xf numFmtId="166" fontId="4" fillId="0" borderId="0" xfId="0" applyNumberFormat="1" applyFont="1" applyAlignment="1">
      <alignment horizontal="center"/>
    </xf>
    <xf numFmtId="165" fontId="6" fillId="0" borderId="0" xfId="1" applyNumberFormat="1" applyFont="1"/>
    <xf numFmtId="165" fontId="6" fillId="2" borderId="0" xfId="1" applyNumberFormat="1" applyFont="1" applyFill="1" applyAlignment="1">
      <alignment horizontal="center"/>
    </xf>
    <xf numFmtId="165" fontId="6" fillId="0" borderId="0" xfId="0" applyNumberFormat="1" applyFont="1"/>
    <xf numFmtId="168" fontId="6" fillId="0" borderId="0" xfId="0" applyNumberFormat="1" applyFont="1" applyAlignment="1">
      <alignment horizontal="center" vertical="top"/>
    </xf>
    <xf numFmtId="168" fontId="6" fillId="3" borderId="0" xfId="0" applyNumberFormat="1" applyFont="1" applyFill="1" applyAlignment="1">
      <alignment horizontal="center" vertical="top"/>
    </xf>
    <xf numFmtId="14" fontId="9" fillId="0" borderId="0" xfId="0" applyNumberFormat="1" applyFont="1" applyAlignment="1">
      <alignment horizontal="center"/>
    </xf>
    <xf numFmtId="0" fontId="8" fillId="4" borderId="0" xfId="0" applyFont="1" applyFill="1"/>
    <xf numFmtId="0" fontId="8" fillId="4" borderId="0" xfId="0" applyFont="1" applyFill="1" applyAlignment="1">
      <alignment horizontal="left"/>
    </xf>
    <xf numFmtId="0" fontId="9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3" fontId="8" fillId="4" borderId="0" xfId="1" applyNumberFormat="1" applyFont="1" applyFill="1" applyBorder="1" applyAlignment="1">
      <alignment horizontal="center"/>
    </xf>
    <xf numFmtId="165" fontId="13" fillId="4" borderId="0" xfId="1" applyNumberFormat="1" applyFont="1" applyFill="1" applyAlignment="1">
      <alignment horizontal="center"/>
    </xf>
    <xf numFmtId="168" fontId="13" fillId="4" borderId="0" xfId="1" applyNumberFormat="1" applyFont="1" applyFill="1" applyAlignment="1">
      <alignment horizontal="center"/>
    </xf>
    <xf numFmtId="165" fontId="10" fillId="3" borderId="0" xfId="1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 vertical="top"/>
    </xf>
    <xf numFmtId="165" fontId="13" fillId="4" borderId="0" xfId="0" applyNumberFormat="1" applyFont="1" applyFill="1"/>
    <xf numFmtId="0" fontId="8" fillId="5" borderId="3" xfId="0" applyFont="1" applyFill="1" applyBorder="1"/>
    <xf numFmtId="0" fontId="8" fillId="5" borderId="3" xfId="0" applyFont="1" applyFill="1" applyBorder="1" applyAlignment="1">
      <alignment horizontal="left"/>
    </xf>
    <xf numFmtId="0" fontId="8" fillId="5" borderId="3" xfId="0" applyFont="1" applyFill="1" applyBorder="1" applyAlignment="1">
      <alignment horizontal="center"/>
    </xf>
    <xf numFmtId="3" fontId="8" fillId="5" borderId="3" xfId="0" applyNumberFormat="1" applyFont="1" applyFill="1" applyBorder="1" applyAlignment="1">
      <alignment horizontal="center"/>
    </xf>
    <xf numFmtId="165" fontId="13" fillId="5" borderId="3" xfId="0" applyNumberFormat="1" applyFont="1" applyFill="1" applyBorder="1"/>
    <xf numFmtId="165" fontId="5" fillId="5" borderId="3" xfId="0" applyNumberFormat="1" applyFont="1" applyFill="1" applyBorder="1"/>
    <xf numFmtId="168" fontId="13" fillId="5" borderId="3" xfId="0" applyNumberFormat="1" applyFont="1" applyFill="1" applyBorder="1" applyAlignment="1">
      <alignment horizontal="center"/>
    </xf>
    <xf numFmtId="165" fontId="10" fillId="3" borderId="0" xfId="0" applyNumberFormat="1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3" fontId="2" fillId="4" borderId="0" xfId="0" applyNumberFormat="1" applyFont="1" applyFill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3" fillId="4" borderId="0" xfId="1" applyNumberFormat="1" applyFont="1" applyFill="1" applyAlignment="1">
      <alignment horizontal="center"/>
    </xf>
    <xf numFmtId="10" fontId="10" fillId="0" borderId="0" xfId="0" applyNumberFormat="1" applyFont="1" applyAlignment="1">
      <alignment horizontal="center" vertical="top"/>
    </xf>
    <xf numFmtId="0" fontId="2" fillId="5" borderId="3" xfId="0" applyFont="1" applyFill="1" applyBorder="1" applyAlignment="1">
      <alignment horizontal="center"/>
    </xf>
    <xf numFmtId="3" fontId="2" fillId="5" borderId="3" xfId="0" applyNumberFormat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3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D8DFC-53A1-434D-91A9-B73C38AB3FF6}">
  <dimension ref="A1:T73"/>
  <sheetViews>
    <sheetView tabSelected="1" workbookViewId="0">
      <selection sqref="A1:T72"/>
    </sheetView>
  </sheetViews>
  <sheetFormatPr baseColWidth="10" defaultRowHeight="14.4" x14ac:dyDescent="0.3"/>
  <sheetData>
    <row r="1" spans="1:20" ht="15.6" x14ac:dyDescent="0.3">
      <c r="A1" s="1" t="s">
        <v>0</v>
      </c>
      <c r="B1" s="2"/>
      <c r="C1" s="3"/>
      <c r="D1" s="4"/>
      <c r="E1" s="5"/>
      <c r="F1" s="4"/>
      <c r="G1" s="4"/>
      <c r="H1" s="6"/>
      <c r="I1" s="6"/>
      <c r="J1" s="6"/>
      <c r="K1" s="7"/>
      <c r="L1" s="7"/>
      <c r="M1" s="7"/>
      <c r="N1" s="8"/>
      <c r="O1" s="9"/>
      <c r="P1" s="10"/>
      <c r="Q1" s="10"/>
      <c r="R1" s="10"/>
      <c r="S1" s="11"/>
      <c r="T1" s="12"/>
    </row>
    <row r="2" spans="1:20" ht="15.6" x14ac:dyDescent="0.3">
      <c r="A2" s="1"/>
      <c r="B2" s="2"/>
      <c r="C2" s="3"/>
      <c r="D2" s="4"/>
      <c r="E2" s="5"/>
      <c r="F2" s="4"/>
      <c r="G2" s="4"/>
      <c r="H2" s="6"/>
      <c r="I2" s="6"/>
      <c r="J2" s="6"/>
      <c r="K2" s="7"/>
      <c r="L2" s="7"/>
      <c r="M2" s="7"/>
      <c r="N2" s="8"/>
      <c r="O2" s="13"/>
      <c r="P2" s="10"/>
      <c r="Q2" s="10"/>
      <c r="R2" s="10"/>
      <c r="S2" s="11"/>
      <c r="T2" s="12"/>
    </row>
    <row r="3" spans="1:20" ht="15.6" x14ac:dyDescent="0.3">
      <c r="A3" s="1"/>
      <c r="B3" s="1"/>
      <c r="C3" s="14"/>
      <c r="D3" s="15"/>
      <c r="E3" s="16"/>
      <c r="F3" s="4"/>
      <c r="G3" s="4"/>
      <c r="H3" s="17" t="s">
        <v>1</v>
      </c>
      <c r="I3" s="17"/>
      <c r="J3" s="17"/>
      <c r="K3" s="13"/>
      <c r="L3" s="18"/>
      <c r="M3" s="18"/>
      <c r="N3" s="8"/>
      <c r="O3" s="9"/>
      <c r="P3" s="10"/>
      <c r="Q3" s="10"/>
      <c r="R3" s="19" t="s">
        <v>2</v>
      </c>
      <c r="S3" s="20" t="s">
        <v>3</v>
      </c>
      <c r="T3" s="20"/>
    </row>
    <row r="4" spans="1:20" ht="15" thickBot="1" x14ac:dyDescent="0.35">
      <c r="A4" s="21" t="s">
        <v>4</v>
      </c>
      <c r="B4" s="22" t="s">
        <v>5</v>
      </c>
      <c r="C4" s="21" t="s">
        <v>6</v>
      </c>
      <c r="D4" s="21" t="s">
        <v>7</v>
      </c>
      <c r="E4" s="23" t="s">
        <v>8</v>
      </c>
      <c r="F4" s="21" t="s">
        <v>9</v>
      </c>
      <c r="G4" s="21" t="s">
        <v>10</v>
      </c>
      <c r="H4" s="21" t="s">
        <v>11</v>
      </c>
      <c r="I4" s="21" t="s">
        <v>12</v>
      </c>
      <c r="J4" s="24" t="s">
        <v>13</v>
      </c>
      <c r="K4" s="25" t="s">
        <v>14</v>
      </c>
      <c r="L4" s="25" t="s">
        <v>15</v>
      </c>
      <c r="M4" s="26" t="s">
        <v>16</v>
      </c>
      <c r="N4" s="27" t="s">
        <v>17</v>
      </c>
      <c r="O4" s="26" t="s">
        <v>18</v>
      </c>
      <c r="P4" s="28" t="s">
        <v>19</v>
      </c>
      <c r="Q4" s="28" t="s">
        <v>14</v>
      </c>
      <c r="R4" s="29" t="s">
        <v>20</v>
      </c>
      <c r="S4" s="30" t="s">
        <v>21</v>
      </c>
      <c r="T4" s="31" t="s">
        <v>22</v>
      </c>
    </row>
    <row r="5" spans="1:20" ht="16.2" thickTop="1" x14ac:dyDescent="0.3">
      <c r="A5" s="32" t="s">
        <v>23</v>
      </c>
      <c r="B5" s="33" t="s">
        <v>24</v>
      </c>
      <c r="C5" s="14" t="s">
        <v>25</v>
      </c>
      <c r="D5" s="14" t="s">
        <v>26</v>
      </c>
      <c r="E5" s="5">
        <v>2</v>
      </c>
      <c r="F5" s="14" t="s">
        <v>27</v>
      </c>
      <c r="G5" s="14" t="s">
        <v>28</v>
      </c>
      <c r="H5" s="34">
        <v>46038</v>
      </c>
      <c r="I5" s="34">
        <v>46039</v>
      </c>
      <c r="J5" s="35" t="str">
        <f t="shared" ref="J5:J45" si="0">TEXT(I5,"mmmm")</f>
        <v>enero</v>
      </c>
      <c r="K5" s="36">
        <v>5130</v>
      </c>
      <c r="L5" s="37">
        <v>3863.96</v>
      </c>
      <c r="M5" s="36">
        <f t="shared" ref="M5:M26" si="1">+K5-L5</f>
        <v>1266.04</v>
      </c>
      <c r="N5" s="38">
        <f>+M5/1.21</f>
        <v>1046.3140495867769</v>
      </c>
      <c r="O5" s="39">
        <f>+N5*21%</f>
        <v>219.72595041322316</v>
      </c>
      <c r="P5" s="40">
        <f t="shared" ref="P5:P26" si="2">+L5+N5</f>
        <v>4910.2740495867765</v>
      </c>
      <c r="Q5" s="40">
        <f>+O5+P5</f>
        <v>5130</v>
      </c>
      <c r="R5" s="41">
        <f>+N5/P5</f>
        <v>0.21308669109310291</v>
      </c>
      <c r="S5" s="42">
        <v>564</v>
      </c>
      <c r="T5" s="43">
        <f t="shared" ref="T5:T68" si="3">+N5/(P5-S5)</f>
        <v>0.24073816737033774</v>
      </c>
    </row>
    <row r="6" spans="1:20" ht="15.6" x14ac:dyDescent="0.3">
      <c r="A6" s="32" t="s">
        <v>29</v>
      </c>
      <c r="B6" s="44" t="s">
        <v>30</v>
      </c>
      <c r="C6" s="35" t="s">
        <v>31</v>
      </c>
      <c r="D6" s="45" t="s">
        <v>32</v>
      </c>
      <c r="E6" s="5">
        <v>21</v>
      </c>
      <c r="F6" s="35" t="s">
        <v>33</v>
      </c>
      <c r="G6" s="14" t="s">
        <v>28</v>
      </c>
      <c r="H6" s="34">
        <v>46015</v>
      </c>
      <c r="I6" s="34">
        <v>46024</v>
      </c>
      <c r="J6" s="35" t="str">
        <f t="shared" si="0"/>
        <v>enero</v>
      </c>
      <c r="K6" s="36">
        <v>117805</v>
      </c>
      <c r="L6" s="37">
        <v>98178.37</v>
      </c>
      <c r="M6" s="36">
        <f t="shared" si="1"/>
        <v>19626.630000000005</v>
      </c>
      <c r="N6" s="38">
        <f t="shared" ref="N6:N26" si="4">+M6/1.21</f>
        <v>16220.355371900831</v>
      </c>
      <c r="O6" s="39">
        <f t="shared" ref="O6:O26" si="5">+N6*21%</f>
        <v>3406.2746280991742</v>
      </c>
      <c r="P6" s="40">
        <f t="shared" si="2"/>
        <v>114398.72537190083</v>
      </c>
      <c r="Q6" s="40">
        <f t="shared" ref="Q6:Q26" si="6">+O6+P6</f>
        <v>117805</v>
      </c>
      <c r="R6" s="41">
        <f t="shared" ref="R6:R26" si="7">+N6/P6</f>
        <v>0.14178790296106702</v>
      </c>
      <c r="S6" s="42">
        <v>33179</v>
      </c>
      <c r="T6" s="43">
        <f t="shared" si="3"/>
        <v>0.19970955697804543</v>
      </c>
    </row>
    <row r="7" spans="1:20" ht="15.6" x14ac:dyDescent="0.3">
      <c r="A7" s="32" t="s">
        <v>34</v>
      </c>
      <c r="B7" s="44" t="s">
        <v>35</v>
      </c>
      <c r="C7" s="35" t="s">
        <v>36</v>
      </c>
      <c r="D7" s="45" t="s">
        <v>37</v>
      </c>
      <c r="E7" s="5">
        <v>6</v>
      </c>
      <c r="F7" s="35" t="s">
        <v>38</v>
      </c>
      <c r="G7" s="14" t="s">
        <v>28</v>
      </c>
      <c r="H7" s="34">
        <v>46017</v>
      </c>
      <c r="I7" s="34">
        <v>46024</v>
      </c>
      <c r="J7" s="35" t="str">
        <f t="shared" si="0"/>
        <v>enero</v>
      </c>
      <c r="K7" s="36">
        <v>29106</v>
      </c>
      <c r="L7" s="37">
        <v>23476.29</v>
      </c>
      <c r="M7" s="36">
        <f t="shared" si="1"/>
        <v>5629.7099999999991</v>
      </c>
      <c r="N7" s="38">
        <f t="shared" si="4"/>
        <v>4652.6528925619832</v>
      </c>
      <c r="O7" s="39">
        <f t="shared" si="5"/>
        <v>977.05710743801649</v>
      </c>
      <c r="P7" s="40">
        <f t="shared" si="2"/>
        <v>28128.942892561983</v>
      </c>
      <c r="Q7" s="40">
        <f t="shared" si="6"/>
        <v>29106</v>
      </c>
      <c r="R7" s="41">
        <f t="shared" si="7"/>
        <v>0.16540447006248019</v>
      </c>
      <c r="S7" s="42">
        <v>3649</v>
      </c>
      <c r="T7" s="43">
        <f t="shared" si="3"/>
        <v>0.19005979356167743</v>
      </c>
    </row>
    <row r="8" spans="1:20" ht="15.6" x14ac:dyDescent="0.3">
      <c r="A8" s="32" t="s">
        <v>39</v>
      </c>
      <c r="B8" s="44" t="s">
        <v>40</v>
      </c>
      <c r="C8" s="35" t="s">
        <v>41</v>
      </c>
      <c r="D8" s="45" t="s">
        <v>42</v>
      </c>
      <c r="E8" s="5">
        <v>2</v>
      </c>
      <c r="F8" s="35" t="s">
        <v>43</v>
      </c>
      <c r="G8" s="14" t="s">
        <v>28</v>
      </c>
      <c r="H8" s="34">
        <v>46041</v>
      </c>
      <c r="I8" s="34">
        <v>46046</v>
      </c>
      <c r="J8" s="35" t="str">
        <f t="shared" si="0"/>
        <v>enero</v>
      </c>
      <c r="K8" s="36">
        <v>8767</v>
      </c>
      <c r="L8" s="37">
        <v>6069.88</v>
      </c>
      <c r="M8" s="36">
        <f t="shared" si="1"/>
        <v>2697.12</v>
      </c>
      <c r="N8" s="38">
        <f t="shared" si="4"/>
        <v>2229.0247933884298</v>
      </c>
      <c r="O8" s="39">
        <f t="shared" si="5"/>
        <v>468.09520661157023</v>
      </c>
      <c r="P8" s="40">
        <f t="shared" si="2"/>
        <v>8298.9047933884303</v>
      </c>
      <c r="Q8" s="40">
        <f t="shared" si="6"/>
        <v>8767</v>
      </c>
      <c r="R8" s="41">
        <f t="shared" si="7"/>
        <v>0.26859264552164147</v>
      </c>
      <c r="S8" s="42">
        <v>1058</v>
      </c>
      <c r="T8" s="43">
        <f t="shared" si="3"/>
        <v>0.30783788172767046</v>
      </c>
    </row>
    <row r="9" spans="1:20" ht="15.6" x14ac:dyDescent="0.3">
      <c r="A9" s="32" t="s">
        <v>44</v>
      </c>
      <c r="B9" s="44" t="s">
        <v>45</v>
      </c>
      <c r="C9" s="35" t="s">
        <v>46</v>
      </c>
      <c r="D9" s="45" t="s">
        <v>47</v>
      </c>
      <c r="E9" s="5">
        <v>2</v>
      </c>
      <c r="F9" s="35" t="s">
        <v>48</v>
      </c>
      <c r="G9" s="14" t="s">
        <v>28</v>
      </c>
      <c r="H9" s="34">
        <v>46019</v>
      </c>
      <c r="I9" s="34">
        <v>46026</v>
      </c>
      <c r="J9" s="35" t="str">
        <f t="shared" si="0"/>
        <v>enero</v>
      </c>
      <c r="K9" s="36">
        <v>16748</v>
      </c>
      <c r="L9" s="37">
        <v>13884.9</v>
      </c>
      <c r="M9" s="36">
        <f t="shared" si="1"/>
        <v>2863.1000000000004</v>
      </c>
      <c r="N9" s="38">
        <f t="shared" si="4"/>
        <v>2366.1983471074382</v>
      </c>
      <c r="O9" s="39">
        <f t="shared" si="5"/>
        <v>496.90165289256197</v>
      </c>
      <c r="P9" s="40">
        <f t="shared" si="2"/>
        <v>16251.098347107438</v>
      </c>
      <c r="Q9" s="40">
        <f t="shared" si="6"/>
        <v>16748</v>
      </c>
      <c r="R9" s="41">
        <f t="shared" si="7"/>
        <v>0.14560236462593323</v>
      </c>
      <c r="S9" s="42">
        <v>2804</v>
      </c>
      <c r="T9" s="43">
        <f t="shared" si="3"/>
        <v>0.17596348937363304</v>
      </c>
    </row>
    <row r="10" spans="1:20" ht="15.6" x14ac:dyDescent="0.3">
      <c r="A10" s="32" t="s">
        <v>49</v>
      </c>
      <c r="B10" s="44" t="s">
        <v>40</v>
      </c>
      <c r="C10" s="46" t="s">
        <v>25</v>
      </c>
      <c r="D10" s="45" t="s">
        <v>50</v>
      </c>
      <c r="E10" s="5">
        <v>6</v>
      </c>
      <c r="F10" s="35" t="s">
        <v>38</v>
      </c>
      <c r="G10" s="14" t="s">
        <v>28</v>
      </c>
      <c r="H10" s="34">
        <v>46017</v>
      </c>
      <c r="I10" s="34">
        <v>46025</v>
      </c>
      <c r="J10" s="35" t="str">
        <f t="shared" si="0"/>
        <v>enero</v>
      </c>
      <c r="K10" s="36">
        <v>30495</v>
      </c>
      <c r="L10" s="37">
        <v>24944</v>
      </c>
      <c r="M10" s="36">
        <f t="shared" si="1"/>
        <v>5551</v>
      </c>
      <c r="N10" s="38">
        <f t="shared" si="4"/>
        <v>4587.6033057851237</v>
      </c>
      <c r="O10" s="39">
        <f t="shared" si="5"/>
        <v>963.39669421487588</v>
      </c>
      <c r="P10" s="40">
        <f t="shared" si="2"/>
        <v>29531.603305785124</v>
      </c>
      <c r="Q10" s="40">
        <f t="shared" si="6"/>
        <v>30495</v>
      </c>
      <c r="R10" s="41">
        <f t="shared" si="7"/>
        <v>0.15534555500704667</v>
      </c>
      <c r="S10" s="42">
        <v>4309</v>
      </c>
      <c r="T10" s="43">
        <f t="shared" si="3"/>
        <v>0.18188460763417305</v>
      </c>
    </row>
    <row r="11" spans="1:20" ht="15.6" x14ac:dyDescent="0.3">
      <c r="A11" s="32" t="s">
        <v>51</v>
      </c>
      <c r="B11" s="44">
        <v>36324</v>
      </c>
      <c r="C11" s="46" t="s">
        <v>52</v>
      </c>
      <c r="D11" s="45" t="s">
        <v>53</v>
      </c>
      <c r="E11" s="5">
        <v>4</v>
      </c>
      <c r="F11" s="35" t="s">
        <v>27</v>
      </c>
      <c r="G11" s="14" t="s">
        <v>28</v>
      </c>
      <c r="H11" s="34">
        <v>46026</v>
      </c>
      <c r="I11" s="34">
        <v>46032</v>
      </c>
      <c r="J11" s="35" t="str">
        <f t="shared" si="0"/>
        <v>enero</v>
      </c>
      <c r="K11" s="36">
        <v>8015</v>
      </c>
      <c r="L11" s="37">
        <v>5341.74</v>
      </c>
      <c r="M11" s="36">
        <f t="shared" si="1"/>
        <v>2673.26</v>
      </c>
      <c r="N11" s="38">
        <f t="shared" si="4"/>
        <v>2209.3057851239673</v>
      </c>
      <c r="O11" s="39">
        <f t="shared" si="5"/>
        <v>463.95421487603312</v>
      </c>
      <c r="P11" s="40">
        <f t="shared" si="2"/>
        <v>7551.0457851239671</v>
      </c>
      <c r="Q11" s="40">
        <f t="shared" si="6"/>
        <v>8015</v>
      </c>
      <c r="R11" s="41">
        <f t="shared" si="7"/>
        <v>0.29258275581859644</v>
      </c>
      <c r="S11" s="42">
        <v>801</v>
      </c>
      <c r="T11" s="43">
        <f t="shared" si="3"/>
        <v>0.32730234067344072</v>
      </c>
    </row>
    <row r="12" spans="1:20" ht="15.6" x14ac:dyDescent="0.3">
      <c r="A12" s="32" t="s">
        <v>54</v>
      </c>
      <c r="B12" s="44" t="s">
        <v>35</v>
      </c>
      <c r="C12" s="35" t="s">
        <v>55</v>
      </c>
      <c r="D12" s="14" t="s">
        <v>56</v>
      </c>
      <c r="E12" s="5">
        <v>1</v>
      </c>
      <c r="F12" s="35" t="s">
        <v>57</v>
      </c>
      <c r="G12" s="14" t="s">
        <v>28</v>
      </c>
      <c r="H12" s="34">
        <v>46016</v>
      </c>
      <c r="I12" s="34">
        <v>46024</v>
      </c>
      <c r="J12" s="35" t="str">
        <f t="shared" si="0"/>
        <v>enero</v>
      </c>
      <c r="K12" s="36">
        <v>11160</v>
      </c>
      <c r="L12" s="37">
        <v>8475.32</v>
      </c>
      <c r="M12" s="36">
        <f t="shared" si="1"/>
        <v>2684.6800000000003</v>
      </c>
      <c r="N12" s="38">
        <f t="shared" si="4"/>
        <v>2218.7438016528927</v>
      </c>
      <c r="O12" s="39">
        <f t="shared" si="5"/>
        <v>465.93619834710745</v>
      </c>
      <c r="P12" s="40">
        <f t="shared" si="2"/>
        <v>10694.063801652892</v>
      </c>
      <c r="Q12" s="40">
        <f t="shared" si="6"/>
        <v>11160</v>
      </c>
      <c r="R12" s="41">
        <f t="shared" si="7"/>
        <v>0.20747433742727064</v>
      </c>
      <c r="S12" s="42">
        <v>1483</v>
      </c>
      <c r="T12" s="43">
        <f t="shared" si="3"/>
        <v>0.24087812758986071</v>
      </c>
    </row>
    <row r="13" spans="1:20" ht="15.6" x14ac:dyDescent="0.3">
      <c r="A13" s="32" t="s">
        <v>58</v>
      </c>
      <c r="B13" s="33" t="s">
        <v>59</v>
      </c>
      <c r="C13" s="35" t="s">
        <v>60</v>
      </c>
      <c r="D13" s="14" t="s">
        <v>61</v>
      </c>
      <c r="E13" s="5">
        <v>4</v>
      </c>
      <c r="F13" s="35" t="s">
        <v>57</v>
      </c>
      <c r="G13" s="14" t="s">
        <v>28</v>
      </c>
      <c r="H13" s="34">
        <v>46018</v>
      </c>
      <c r="I13" s="34">
        <v>46025</v>
      </c>
      <c r="J13" s="35" t="str">
        <f t="shared" si="0"/>
        <v>enero</v>
      </c>
      <c r="K13" s="36">
        <v>23872</v>
      </c>
      <c r="L13" s="37">
        <v>20690.12</v>
      </c>
      <c r="M13" s="36">
        <f t="shared" si="1"/>
        <v>3181.880000000001</v>
      </c>
      <c r="N13" s="38">
        <f t="shared" si="4"/>
        <v>2629.6528925619846</v>
      </c>
      <c r="O13" s="39">
        <f t="shared" si="5"/>
        <v>552.22710743801679</v>
      </c>
      <c r="P13" s="40">
        <f t="shared" si="2"/>
        <v>23319.772892561985</v>
      </c>
      <c r="Q13" s="40">
        <f t="shared" si="6"/>
        <v>23872</v>
      </c>
      <c r="R13" s="41">
        <f t="shared" si="7"/>
        <v>0.11276494435332739</v>
      </c>
      <c r="S13" s="42">
        <v>2258</v>
      </c>
      <c r="T13" s="43">
        <f t="shared" si="3"/>
        <v>0.12485429911223915</v>
      </c>
    </row>
    <row r="14" spans="1:20" ht="15.6" x14ac:dyDescent="0.3">
      <c r="A14" s="32" t="s">
        <v>62</v>
      </c>
      <c r="B14" s="33" t="s">
        <v>35</v>
      </c>
      <c r="C14" s="35" t="s">
        <v>36</v>
      </c>
      <c r="D14" s="45" t="s">
        <v>63</v>
      </c>
      <c r="E14" s="5">
        <v>6</v>
      </c>
      <c r="F14" s="14" t="s">
        <v>48</v>
      </c>
      <c r="G14" s="14" t="s">
        <v>28</v>
      </c>
      <c r="H14" s="47">
        <v>46018</v>
      </c>
      <c r="I14" s="47">
        <v>46024</v>
      </c>
      <c r="J14" s="35" t="str">
        <f t="shared" si="0"/>
        <v>enero</v>
      </c>
      <c r="K14" s="48">
        <v>4195</v>
      </c>
      <c r="L14" s="37">
        <v>2736.13</v>
      </c>
      <c r="M14" s="48">
        <f t="shared" si="1"/>
        <v>1458.87</v>
      </c>
      <c r="N14" s="49">
        <f t="shared" si="4"/>
        <v>1205.6776859504132</v>
      </c>
      <c r="O14" s="39">
        <f t="shared" si="5"/>
        <v>253.19231404958677</v>
      </c>
      <c r="P14" s="50">
        <f t="shared" si="2"/>
        <v>3941.8076859504135</v>
      </c>
      <c r="Q14" s="50">
        <f t="shared" si="6"/>
        <v>4195</v>
      </c>
      <c r="R14" s="51">
        <f t="shared" si="7"/>
        <v>0.3058692310758207</v>
      </c>
      <c r="S14" s="42">
        <v>503</v>
      </c>
      <c r="T14" s="52">
        <f t="shared" si="3"/>
        <v>0.3506092215846579</v>
      </c>
    </row>
    <row r="15" spans="1:20" ht="15.6" x14ac:dyDescent="0.3">
      <c r="A15" s="32" t="s">
        <v>64</v>
      </c>
      <c r="B15" s="33" t="s">
        <v>65</v>
      </c>
      <c r="C15" s="35" t="s">
        <v>66</v>
      </c>
      <c r="D15" s="45" t="s">
        <v>67</v>
      </c>
      <c r="E15" s="5">
        <v>2</v>
      </c>
      <c r="F15" s="35" t="s">
        <v>43</v>
      </c>
      <c r="G15" s="14" t="s">
        <v>28</v>
      </c>
      <c r="H15" s="34">
        <v>46021</v>
      </c>
      <c r="I15" s="34">
        <v>46026</v>
      </c>
      <c r="J15" s="35" t="str">
        <f t="shared" si="0"/>
        <v>enero</v>
      </c>
      <c r="K15" s="36">
        <v>18597</v>
      </c>
      <c r="L15" s="37">
        <v>16086</v>
      </c>
      <c r="M15" s="36">
        <f t="shared" si="1"/>
        <v>2511</v>
      </c>
      <c r="N15" s="38">
        <f t="shared" si="4"/>
        <v>2075.2066115702478</v>
      </c>
      <c r="O15" s="39">
        <f t="shared" si="5"/>
        <v>435.79338842975204</v>
      </c>
      <c r="P15" s="40">
        <f t="shared" si="2"/>
        <v>18161.206611570247</v>
      </c>
      <c r="Q15" s="40">
        <f t="shared" si="6"/>
        <v>18597</v>
      </c>
      <c r="R15" s="41">
        <f t="shared" si="7"/>
        <v>0.11426589961529114</v>
      </c>
      <c r="S15" s="42">
        <v>1946</v>
      </c>
      <c r="T15" s="43">
        <f t="shared" si="3"/>
        <v>0.12797904222136144</v>
      </c>
    </row>
    <row r="16" spans="1:20" ht="15.6" x14ac:dyDescent="0.3">
      <c r="A16" s="32" t="s">
        <v>68</v>
      </c>
      <c r="B16" s="33" t="s">
        <v>69</v>
      </c>
      <c r="C16" s="35" t="s">
        <v>70</v>
      </c>
      <c r="D16" s="45" t="s">
        <v>71</v>
      </c>
      <c r="E16" s="5">
        <v>2</v>
      </c>
      <c r="F16" s="35" t="s">
        <v>33</v>
      </c>
      <c r="G16" s="14" t="s">
        <v>28</v>
      </c>
      <c r="H16" s="34">
        <v>46032</v>
      </c>
      <c r="I16" s="34">
        <v>46045</v>
      </c>
      <c r="J16" s="35" t="str">
        <f t="shared" si="0"/>
        <v>enero</v>
      </c>
      <c r="K16" s="36">
        <v>5185</v>
      </c>
      <c r="L16" s="37">
        <v>3897.91</v>
      </c>
      <c r="M16" s="36">
        <f t="shared" si="1"/>
        <v>1287.0900000000001</v>
      </c>
      <c r="N16" s="38">
        <f t="shared" si="4"/>
        <v>1063.7107438016531</v>
      </c>
      <c r="O16" s="39">
        <f t="shared" si="5"/>
        <v>223.37925619834712</v>
      </c>
      <c r="P16" s="40">
        <f t="shared" si="2"/>
        <v>4961.6207438016527</v>
      </c>
      <c r="Q16" s="40">
        <f t="shared" si="6"/>
        <v>5185</v>
      </c>
      <c r="R16" s="41">
        <f t="shared" si="7"/>
        <v>0.2143877572929174</v>
      </c>
      <c r="S16" s="42">
        <v>516</v>
      </c>
      <c r="T16" s="43">
        <f t="shared" si="3"/>
        <v>0.23927158997643724</v>
      </c>
    </row>
    <row r="17" spans="1:20" ht="15.6" x14ac:dyDescent="0.3">
      <c r="A17" s="32" t="s">
        <v>72</v>
      </c>
      <c r="B17" s="33" t="s">
        <v>73</v>
      </c>
      <c r="C17" s="35" t="s">
        <v>74</v>
      </c>
      <c r="D17" s="45" t="s">
        <v>75</v>
      </c>
      <c r="E17" s="5">
        <v>2</v>
      </c>
      <c r="F17" s="35" t="s">
        <v>57</v>
      </c>
      <c r="G17" s="14" t="s">
        <v>28</v>
      </c>
      <c r="H17" s="34">
        <v>46010</v>
      </c>
      <c r="I17" s="34">
        <v>46025</v>
      </c>
      <c r="J17" s="35" t="str">
        <f t="shared" si="0"/>
        <v>enero</v>
      </c>
      <c r="K17" s="36">
        <v>16955</v>
      </c>
      <c r="L17" s="37">
        <v>13678.08</v>
      </c>
      <c r="M17" s="36">
        <f t="shared" si="1"/>
        <v>3276.92</v>
      </c>
      <c r="N17" s="38">
        <f t="shared" si="4"/>
        <v>2708.1983471074382</v>
      </c>
      <c r="O17" s="39">
        <f t="shared" si="5"/>
        <v>568.72165289256202</v>
      </c>
      <c r="P17" s="40">
        <f t="shared" si="2"/>
        <v>16386.278347107436</v>
      </c>
      <c r="Q17" s="40">
        <f t="shared" si="6"/>
        <v>16955</v>
      </c>
      <c r="R17" s="41">
        <f t="shared" si="7"/>
        <v>0.16527232662232294</v>
      </c>
      <c r="S17" s="42">
        <v>2686</v>
      </c>
      <c r="T17" s="43">
        <f t="shared" si="3"/>
        <v>0.19767469525020451</v>
      </c>
    </row>
    <row r="18" spans="1:20" ht="15.6" x14ac:dyDescent="0.3">
      <c r="A18" s="32" t="s">
        <v>76</v>
      </c>
      <c r="B18" s="33" t="s">
        <v>77</v>
      </c>
      <c r="C18" s="35" t="s">
        <v>78</v>
      </c>
      <c r="D18" s="46" t="s">
        <v>79</v>
      </c>
      <c r="E18" s="5">
        <v>2</v>
      </c>
      <c r="F18" s="35" t="s">
        <v>80</v>
      </c>
      <c r="G18" s="14" t="s">
        <v>28</v>
      </c>
      <c r="H18" s="34">
        <v>46025</v>
      </c>
      <c r="I18" s="34">
        <v>46034</v>
      </c>
      <c r="J18" s="35" t="str">
        <f t="shared" si="0"/>
        <v>enero</v>
      </c>
      <c r="K18" s="36">
        <v>11372</v>
      </c>
      <c r="L18" s="37">
        <v>7489.67</v>
      </c>
      <c r="M18" s="36">
        <f t="shared" si="1"/>
        <v>3882.33</v>
      </c>
      <c r="N18" s="38">
        <f t="shared" si="4"/>
        <v>3208.5371900826449</v>
      </c>
      <c r="O18" s="39">
        <f t="shared" si="5"/>
        <v>673.79280991735538</v>
      </c>
      <c r="P18" s="40">
        <f t="shared" si="2"/>
        <v>10698.207190082645</v>
      </c>
      <c r="Q18" s="40">
        <f t="shared" si="6"/>
        <v>11372</v>
      </c>
      <c r="R18" s="41">
        <f t="shared" si="7"/>
        <v>0.29991354000481446</v>
      </c>
      <c r="S18" s="42">
        <v>1153</v>
      </c>
      <c r="T18" s="43">
        <f t="shared" si="3"/>
        <v>0.33614117809996585</v>
      </c>
    </row>
    <row r="19" spans="1:20" ht="15.6" x14ac:dyDescent="0.3">
      <c r="A19" s="32" t="s">
        <v>81</v>
      </c>
      <c r="B19" s="33">
        <v>37244</v>
      </c>
      <c r="C19" s="35" t="s">
        <v>82</v>
      </c>
      <c r="D19" s="45" t="s">
        <v>83</v>
      </c>
      <c r="E19" s="5">
        <v>4</v>
      </c>
      <c r="F19" s="35" t="s">
        <v>27</v>
      </c>
      <c r="G19" s="14" t="s">
        <v>28</v>
      </c>
      <c r="H19" s="34">
        <v>46018</v>
      </c>
      <c r="I19" s="34">
        <v>46024</v>
      </c>
      <c r="J19" s="35" t="str">
        <f t="shared" si="0"/>
        <v>enero</v>
      </c>
      <c r="K19" s="36">
        <v>11914</v>
      </c>
      <c r="L19" s="37">
        <v>9250</v>
      </c>
      <c r="M19" s="36">
        <f t="shared" si="1"/>
        <v>2664</v>
      </c>
      <c r="N19" s="38">
        <f t="shared" si="4"/>
        <v>2201.6528925619837</v>
      </c>
      <c r="O19" s="39">
        <f t="shared" si="5"/>
        <v>462.34710743801656</v>
      </c>
      <c r="P19" s="40">
        <f t="shared" si="2"/>
        <v>11451.652892561984</v>
      </c>
      <c r="Q19" s="40">
        <f t="shared" si="6"/>
        <v>11914</v>
      </c>
      <c r="R19" s="41">
        <f t="shared" si="7"/>
        <v>0.19225634178905207</v>
      </c>
      <c r="S19" s="42">
        <v>1787</v>
      </c>
      <c r="T19" s="43">
        <f t="shared" si="3"/>
        <v>0.22780465237984887</v>
      </c>
    </row>
    <row r="20" spans="1:20" ht="15.6" x14ac:dyDescent="0.3">
      <c r="A20" s="32" t="s">
        <v>84</v>
      </c>
      <c r="B20" s="33" t="s">
        <v>85</v>
      </c>
      <c r="C20" s="35" t="s">
        <v>86</v>
      </c>
      <c r="D20" s="45" t="s">
        <v>87</v>
      </c>
      <c r="E20" s="5">
        <v>4</v>
      </c>
      <c r="F20" s="35" t="s">
        <v>27</v>
      </c>
      <c r="G20" s="14" t="s">
        <v>28</v>
      </c>
      <c r="H20" s="34">
        <v>46019</v>
      </c>
      <c r="I20" s="34">
        <v>46025</v>
      </c>
      <c r="J20" s="35" t="str">
        <f t="shared" si="0"/>
        <v>enero</v>
      </c>
      <c r="K20" s="36">
        <v>11197</v>
      </c>
      <c r="L20" s="37">
        <v>3158.9</v>
      </c>
      <c r="M20" s="36">
        <f t="shared" si="1"/>
        <v>8038.1</v>
      </c>
      <c r="N20" s="38">
        <f t="shared" si="4"/>
        <v>6643.0578512396696</v>
      </c>
      <c r="O20" s="39">
        <f t="shared" si="5"/>
        <v>1395.0421487603305</v>
      </c>
      <c r="P20" s="40">
        <f t="shared" si="2"/>
        <v>9801.9578512396693</v>
      </c>
      <c r="Q20" s="40">
        <f t="shared" si="6"/>
        <v>11197</v>
      </c>
      <c r="R20" s="41">
        <f t="shared" si="7"/>
        <v>0.67772764911445849</v>
      </c>
      <c r="S20" s="42">
        <v>2699</v>
      </c>
      <c r="T20" s="43">
        <f t="shared" si="3"/>
        <v>0.93525232591381158</v>
      </c>
    </row>
    <row r="21" spans="1:20" ht="15.6" x14ac:dyDescent="0.3">
      <c r="A21" s="32" t="s">
        <v>88</v>
      </c>
      <c r="B21" s="33" t="s">
        <v>89</v>
      </c>
      <c r="C21" s="35" t="s">
        <v>90</v>
      </c>
      <c r="D21" s="45" t="s">
        <v>91</v>
      </c>
      <c r="E21" s="5">
        <v>1</v>
      </c>
      <c r="F21" s="35" t="s">
        <v>92</v>
      </c>
      <c r="G21" s="14" t="s">
        <v>28</v>
      </c>
      <c r="H21" s="34">
        <v>46033</v>
      </c>
      <c r="I21" s="34">
        <v>46042</v>
      </c>
      <c r="J21" s="35" t="str">
        <f t="shared" si="0"/>
        <v>enero</v>
      </c>
      <c r="K21" s="36">
        <v>19763</v>
      </c>
      <c r="L21" s="37">
        <v>15111</v>
      </c>
      <c r="M21" s="36">
        <f t="shared" si="1"/>
        <v>4652</v>
      </c>
      <c r="N21" s="38">
        <f t="shared" si="4"/>
        <v>3844.6280991735539</v>
      </c>
      <c r="O21" s="39">
        <f t="shared" si="5"/>
        <v>807.37190082644634</v>
      </c>
      <c r="P21" s="40">
        <f t="shared" si="2"/>
        <v>18955.628099173555</v>
      </c>
      <c r="Q21" s="40">
        <f t="shared" si="6"/>
        <v>19763</v>
      </c>
      <c r="R21" s="41">
        <f t="shared" si="7"/>
        <v>0.20282251155482289</v>
      </c>
      <c r="S21" s="42">
        <v>1438</v>
      </c>
      <c r="T21" s="43">
        <f t="shared" si="3"/>
        <v>0.21947195575837891</v>
      </c>
    </row>
    <row r="22" spans="1:20" ht="15.6" x14ac:dyDescent="0.3">
      <c r="A22" s="32" t="s">
        <v>93</v>
      </c>
      <c r="B22" s="33" t="s">
        <v>94</v>
      </c>
      <c r="C22" s="35" t="s">
        <v>95</v>
      </c>
      <c r="D22" s="45" t="s">
        <v>96</v>
      </c>
      <c r="E22" s="5">
        <v>6</v>
      </c>
      <c r="F22" s="35" t="s">
        <v>80</v>
      </c>
      <c r="G22" s="14" t="s">
        <v>28</v>
      </c>
      <c r="H22" s="34">
        <v>46382</v>
      </c>
      <c r="I22" s="34">
        <v>46026</v>
      </c>
      <c r="J22" s="35" t="str">
        <f t="shared" si="0"/>
        <v>enero</v>
      </c>
      <c r="K22" s="36">
        <v>18119</v>
      </c>
      <c r="L22" s="37">
        <v>14924.9</v>
      </c>
      <c r="M22" s="36">
        <f t="shared" si="1"/>
        <v>3194.1000000000004</v>
      </c>
      <c r="N22" s="38">
        <f t="shared" si="4"/>
        <v>2639.7520661157027</v>
      </c>
      <c r="O22" s="39">
        <f t="shared" si="5"/>
        <v>554.3479338842975</v>
      </c>
      <c r="P22" s="40">
        <f t="shared" si="2"/>
        <v>17564.652066115701</v>
      </c>
      <c r="Q22" s="40">
        <f t="shared" si="6"/>
        <v>18119</v>
      </c>
      <c r="R22" s="41">
        <f t="shared" si="7"/>
        <v>0.15028775156942037</v>
      </c>
      <c r="S22" s="42">
        <v>2536</v>
      </c>
      <c r="T22" s="43">
        <f t="shared" si="3"/>
        <v>0.17564795927822502</v>
      </c>
    </row>
    <row r="23" spans="1:20" ht="15.6" x14ac:dyDescent="0.3">
      <c r="A23" s="32" t="s">
        <v>97</v>
      </c>
      <c r="B23" s="33" t="s">
        <v>98</v>
      </c>
      <c r="C23" s="35" t="s">
        <v>99</v>
      </c>
      <c r="D23" s="45" t="s">
        <v>100</v>
      </c>
      <c r="E23" s="5">
        <v>4</v>
      </c>
      <c r="F23" s="35" t="s">
        <v>92</v>
      </c>
      <c r="G23" s="14" t="s">
        <v>28</v>
      </c>
      <c r="H23" s="34">
        <v>46026</v>
      </c>
      <c r="I23" s="34">
        <v>46032</v>
      </c>
      <c r="J23" s="35" t="str">
        <f t="shared" si="0"/>
        <v>enero</v>
      </c>
      <c r="K23" s="36">
        <v>15901</v>
      </c>
      <c r="L23" s="37">
        <v>13103.58</v>
      </c>
      <c r="M23" s="36">
        <f t="shared" si="1"/>
        <v>2797.42</v>
      </c>
      <c r="N23" s="38">
        <f t="shared" si="4"/>
        <v>2311.9173553719011</v>
      </c>
      <c r="O23" s="39">
        <f t="shared" si="5"/>
        <v>485.50264462809923</v>
      </c>
      <c r="P23" s="40">
        <f t="shared" si="2"/>
        <v>15415.497355371901</v>
      </c>
      <c r="Q23" s="40">
        <f t="shared" si="6"/>
        <v>15901</v>
      </c>
      <c r="R23" s="41">
        <f t="shared" si="7"/>
        <v>0.14997358191406376</v>
      </c>
      <c r="S23" s="42">
        <v>1908</v>
      </c>
      <c r="T23" s="43">
        <f t="shared" si="3"/>
        <v>0.17115808314057945</v>
      </c>
    </row>
    <row r="24" spans="1:20" ht="15.6" x14ac:dyDescent="0.3">
      <c r="A24" s="32" t="s">
        <v>101</v>
      </c>
      <c r="B24" s="33" t="s">
        <v>102</v>
      </c>
      <c r="C24" s="35" t="s">
        <v>103</v>
      </c>
      <c r="D24" s="45" t="s">
        <v>104</v>
      </c>
      <c r="E24" s="5">
        <v>5</v>
      </c>
      <c r="F24" s="35" t="s">
        <v>48</v>
      </c>
      <c r="G24" s="14" t="s">
        <v>28</v>
      </c>
      <c r="H24" s="34">
        <v>46387</v>
      </c>
      <c r="I24" s="34">
        <v>46026</v>
      </c>
      <c r="J24" s="35" t="str">
        <f t="shared" si="0"/>
        <v>enero</v>
      </c>
      <c r="K24" s="36">
        <v>7915</v>
      </c>
      <c r="L24" s="37">
        <v>5010.6499999999996</v>
      </c>
      <c r="M24" s="36">
        <f t="shared" si="1"/>
        <v>2904.3500000000004</v>
      </c>
      <c r="N24" s="38">
        <f t="shared" si="4"/>
        <v>2400.2892561983476</v>
      </c>
      <c r="O24" s="39">
        <f t="shared" si="5"/>
        <v>504.06074380165296</v>
      </c>
      <c r="P24" s="40">
        <f t="shared" si="2"/>
        <v>7410.9392561983477</v>
      </c>
      <c r="Q24" s="40">
        <f t="shared" si="6"/>
        <v>7915.0000000000009</v>
      </c>
      <c r="R24" s="41">
        <f t="shared" si="7"/>
        <v>0.32388462153306657</v>
      </c>
      <c r="S24" s="42">
        <v>0</v>
      </c>
      <c r="T24" s="43">
        <f t="shared" si="3"/>
        <v>0.32388462153306657</v>
      </c>
    </row>
    <row r="25" spans="1:20" ht="15.6" x14ac:dyDescent="0.3">
      <c r="A25" s="32" t="s">
        <v>105</v>
      </c>
      <c r="B25" s="33" t="s">
        <v>106</v>
      </c>
      <c r="C25" s="35" t="s">
        <v>107</v>
      </c>
      <c r="D25" s="45" t="s">
        <v>108</v>
      </c>
      <c r="E25" s="5">
        <v>2</v>
      </c>
      <c r="F25" s="35" t="s">
        <v>92</v>
      </c>
      <c r="G25" s="14" t="s">
        <v>28</v>
      </c>
      <c r="H25" s="34">
        <v>46044</v>
      </c>
      <c r="I25" s="34">
        <v>46052</v>
      </c>
      <c r="J25" s="35" t="str">
        <f t="shared" si="0"/>
        <v>enero</v>
      </c>
      <c r="K25" s="36">
        <v>4167</v>
      </c>
      <c r="L25" s="37">
        <v>1994.26</v>
      </c>
      <c r="M25" s="36">
        <f t="shared" si="1"/>
        <v>2172.7399999999998</v>
      </c>
      <c r="N25" s="38">
        <f t="shared" si="4"/>
        <v>1795.6528925619834</v>
      </c>
      <c r="O25" s="39">
        <f t="shared" si="5"/>
        <v>377.08710743801652</v>
      </c>
      <c r="P25" s="40">
        <f t="shared" si="2"/>
        <v>3789.9128925619834</v>
      </c>
      <c r="Q25" s="40">
        <f t="shared" si="6"/>
        <v>4167</v>
      </c>
      <c r="R25" s="41">
        <f t="shared" si="7"/>
        <v>0.47379793242375051</v>
      </c>
      <c r="S25" s="42">
        <v>0</v>
      </c>
      <c r="T25" s="43">
        <f t="shared" si="3"/>
        <v>0.47379793242375051</v>
      </c>
    </row>
    <row r="26" spans="1:20" ht="15.6" x14ac:dyDescent="0.3">
      <c r="A26" s="32" t="s">
        <v>109</v>
      </c>
      <c r="B26" s="33" t="s">
        <v>110</v>
      </c>
      <c r="C26" s="35" t="s">
        <v>111</v>
      </c>
      <c r="D26" s="45" t="s">
        <v>112</v>
      </c>
      <c r="E26" s="5">
        <v>4</v>
      </c>
      <c r="F26" s="35" t="s">
        <v>113</v>
      </c>
      <c r="G26" s="14" t="s">
        <v>28</v>
      </c>
      <c r="H26" s="53">
        <v>46042</v>
      </c>
      <c r="I26" s="53">
        <v>46050</v>
      </c>
      <c r="J26" s="35" t="str">
        <f t="shared" si="0"/>
        <v>enero</v>
      </c>
      <c r="K26" s="36">
        <v>24460</v>
      </c>
      <c r="L26" s="37">
        <v>19685.72</v>
      </c>
      <c r="M26" s="36">
        <f t="shared" si="1"/>
        <v>4774.2799999999988</v>
      </c>
      <c r="N26" s="38">
        <f t="shared" si="4"/>
        <v>3945.6859504132221</v>
      </c>
      <c r="O26" s="39">
        <f t="shared" si="5"/>
        <v>828.59404958677658</v>
      </c>
      <c r="P26" s="40">
        <f t="shared" si="2"/>
        <v>23631.405950413224</v>
      </c>
      <c r="Q26" s="40">
        <f t="shared" si="6"/>
        <v>24460</v>
      </c>
      <c r="R26" s="41">
        <f t="shared" si="7"/>
        <v>0.16696788835554777</v>
      </c>
      <c r="S26" s="42">
        <v>3669</v>
      </c>
      <c r="T26" s="43">
        <f t="shared" si="3"/>
        <v>0.19765583167752113</v>
      </c>
    </row>
    <row r="27" spans="1:20" ht="15.6" x14ac:dyDescent="0.3">
      <c r="A27" s="32" t="s">
        <v>114</v>
      </c>
      <c r="B27" s="33">
        <v>36372</v>
      </c>
      <c r="C27" s="35" t="s">
        <v>115</v>
      </c>
      <c r="D27" s="45" t="s">
        <v>116</v>
      </c>
      <c r="E27" s="5">
        <v>2</v>
      </c>
      <c r="F27" s="35" t="s">
        <v>43</v>
      </c>
      <c r="G27" s="14" t="s">
        <v>117</v>
      </c>
      <c r="H27" s="53">
        <v>46045</v>
      </c>
      <c r="I27" s="53">
        <v>46050</v>
      </c>
      <c r="J27" s="35" t="str">
        <f>TEXT(I27,"mmmm")</f>
        <v>enero</v>
      </c>
      <c r="K27" s="36">
        <v>3126</v>
      </c>
      <c r="L27" s="37">
        <v>2653.92</v>
      </c>
      <c r="M27" s="36">
        <f>+K27-L27</f>
        <v>472.07999999999993</v>
      </c>
      <c r="N27" s="38">
        <f>+M27/1.21</f>
        <v>390.14876033057845</v>
      </c>
      <c r="O27" s="39">
        <f>+N27*21%</f>
        <v>81.931239669421473</v>
      </c>
      <c r="P27" s="40">
        <f>+L27+N27</f>
        <v>3044.0687603305787</v>
      </c>
      <c r="Q27" s="40">
        <f>+O27+P27</f>
        <v>3126</v>
      </c>
      <c r="R27" s="41">
        <f>+N27/P27</f>
        <v>0.12816686844097741</v>
      </c>
      <c r="S27" s="42">
        <v>313</v>
      </c>
      <c r="T27" s="43">
        <f>+N27/(P27-S27)</f>
        <v>0.14285570762537425</v>
      </c>
    </row>
    <row r="28" spans="1:20" ht="15.6" x14ac:dyDescent="0.3">
      <c r="A28" s="54"/>
      <c r="B28" s="55"/>
      <c r="C28" s="56"/>
      <c r="D28" s="57" t="s">
        <v>118</v>
      </c>
      <c r="E28" s="58">
        <f>SUM(E5:E27)</f>
        <v>94</v>
      </c>
      <c r="F28" s="57" t="s">
        <v>119</v>
      </c>
      <c r="G28" s="57"/>
      <c r="H28" s="57" t="s">
        <v>119</v>
      </c>
      <c r="I28" s="57" t="s">
        <v>119</v>
      </c>
      <c r="J28" s="57" t="s">
        <v>120</v>
      </c>
      <c r="K28" s="59">
        <f t="shared" ref="K28:Q28" si="8">SUM(K5:K27)</f>
        <v>423964</v>
      </c>
      <c r="L28" s="59">
        <f t="shared" si="8"/>
        <v>333705.3000000001</v>
      </c>
      <c r="M28" s="59">
        <f t="shared" si="8"/>
        <v>90258.700000000041</v>
      </c>
      <c r="N28" s="59">
        <f t="shared" si="8"/>
        <v>74593.966942148749</v>
      </c>
      <c r="O28" s="59">
        <f t="shared" si="8"/>
        <v>15664.733057851239</v>
      </c>
      <c r="P28" s="59">
        <f t="shared" si="8"/>
        <v>408299.26694214874</v>
      </c>
      <c r="Q28" s="59">
        <f t="shared" si="8"/>
        <v>423964</v>
      </c>
      <c r="R28" s="60">
        <f>+N28/P28</f>
        <v>0.182694344520383</v>
      </c>
      <c r="S28" s="59">
        <f>SUM(S5:S27)</f>
        <v>71259</v>
      </c>
      <c r="T28" s="60">
        <f t="shared" si="3"/>
        <v>0.22132063809144925</v>
      </c>
    </row>
    <row r="29" spans="1:20" ht="15.6" x14ac:dyDescent="0.3">
      <c r="A29" s="32" t="s">
        <v>121</v>
      </c>
      <c r="B29" s="33" t="s">
        <v>122</v>
      </c>
      <c r="C29" s="14" t="s">
        <v>123</v>
      </c>
      <c r="D29" s="14" t="s">
        <v>124</v>
      </c>
      <c r="E29" s="14">
        <v>6</v>
      </c>
      <c r="F29" s="14" t="s">
        <v>27</v>
      </c>
      <c r="G29" s="14" t="s">
        <v>125</v>
      </c>
      <c r="H29" s="34">
        <v>46016</v>
      </c>
      <c r="I29" s="34">
        <v>46029</v>
      </c>
      <c r="J29" s="35" t="str">
        <f t="shared" si="0"/>
        <v>enero</v>
      </c>
      <c r="K29" s="36">
        <v>11674</v>
      </c>
      <c r="L29" s="37">
        <v>7012.54</v>
      </c>
      <c r="M29" s="36">
        <f t="shared" ref="M29:M31" si="9">+K29-L29</f>
        <v>4661.46</v>
      </c>
      <c r="N29" s="38">
        <f t="shared" ref="N29:N31" si="10">+M29/1.21</f>
        <v>3852.4462809917359</v>
      </c>
      <c r="O29" s="39">
        <f t="shared" ref="O29:O31" si="11">+N29*21%</f>
        <v>809.0137190082645</v>
      </c>
      <c r="P29" s="40">
        <f t="shared" ref="P29:P31" si="12">+L29+N29</f>
        <v>10864.986280991736</v>
      </c>
      <c r="Q29" s="40">
        <f t="shared" ref="Q29:Q31" si="13">+O29+P29</f>
        <v>11674</v>
      </c>
      <c r="R29" s="41">
        <f>+N29/P29</f>
        <v>0.35457442663609989</v>
      </c>
      <c r="S29" s="42">
        <v>1518</v>
      </c>
      <c r="T29" s="43">
        <f t="shared" si="3"/>
        <v>0.41215918855323097</v>
      </c>
    </row>
    <row r="30" spans="1:20" ht="15.6" x14ac:dyDescent="0.3">
      <c r="A30" s="32" t="s">
        <v>126</v>
      </c>
      <c r="B30" s="33" t="s">
        <v>127</v>
      </c>
      <c r="C30" s="14" t="s">
        <v>128</v>
      </c>
      <c r="D30" s="14" t="s">
        <v>129</v>
      </c>
      <c r="E30" s="5">
        <v>4</v>
      </c>
      <c r="F30" s="35" t="s">
        <v>43</v>
      </c>
      <c r="G30" s="14" t="s">
        <v>125</v>
      </c>
      <c r="H30" s="34">
        <v>46021</v>
      </c>
      <c r="I30" s="34">
        <v>46029</v>
      </c>
      <c r="J30" s="35" t="str">
        <f t="shared" si="0"/>
        <v>enero</v>
      </c>
      <c r="K30" s="36">
        <v>11621</v>
      </c>
      <c r="L30" s="37">
        <v>8298.93</v>
      </c>
      <c r="M30" s="36">
        <f t="shared" si="9"/>
        <v>3322.0699999999997</v>
      </c>
      <c r="N30" s="38">
        <f t="shared" si="10"/>
        <v>2745.5123966942147</v>
      </c>
      <c r="O30" s="39">
        <f t="shared" si="11"/>
        <v>576.55760330578505</v>
      </c>
      <c r="P30" s="40">
        <f t="shared" si="12"/>
        <v>11044.442396694216</v>
      </c>
      <c r="Q30" s="40">
        <f t="shared" si="13"/>
        <v>11621</v>
      </c>
      <c r="R30" s="41">
        <f t="shared" ref="R30:R31" si="14">+N30/P30</f>
        <v>0.24858768764242836</v>
      </c>
      <c r="S30" s="42">
        <v>1395</v>
      </c>
      <c r="T30" s="43">
        <f t="shared" si="3"/>
        <v>0.28452549731109794</v>
      </c>
    </row>
    <row r="31" spans="1:20" ht="15.6" x14ac:dyDescent="0.3">
      <c r="A31" s="32" t="s">
        <v>130</v>
      </c>
      <c r="B31" s="33">
        <v>36318</v>
      </c>
      <c r="C31" s="35" t="s">
        <v>131</v>
      </c>
      <c r="D31" s="45" t="s">
        <v>132</v>
      </c>
      <c r="E31" s="5">
        <v>2</v>
      </c>
      <c r="F31" s="35" t="s">
        <v>57</v>
      </c>
      <c r="G31" s="14" t="s">
        <v>125</v>
      </c>
      <c r="H31" s="34">
        <v>46020</v>
      </c>
      <c r="I31" s="34">
        <v>46025</v>
      </c>
      <c r="J31" s="35" t="str">
        <f t="shared" si="0"/>
        <v>enero</v>
      </c>
      <c r="K31" s="36">
        <v>5105</v>
      </c>
      <c r="L31" s="37">
        <v>3344.1</v>
      </c>
      <c r="M31" s="36">
        <f t="shared" si="9"/>
        <v>1760.9</v>
      </c>
      <c r="N31" s="38">
        <f t="shared" si="10"/>
        <v>1455.2892561983472</v>
      </c>
      <c r="O31" s="39">
        <f t="shared" si="11"/>
        <v>305.61074380165292</v>
      </c>
      <c r="P31" s="40">
        <f t="shared" si="12"/>
        <v>4799.3892561983466</v>
      </c>
      <c r="Q31" s="40">
        <f t="shared" si="13"/>
        <v>5105</v>
      </c>
      <c r="R31" s="41">
        <f t="shared" si="14"/>
        <v>0.30322384339191921</v>
      </c>
      <c r="S31" s="42">
        <v>627</v>
      </c>
      <c r="T31" s="43">
        <f t="shared" si="3"/>
        <v>0.34879038527779338</v>
      </c>
    </row>
    <row r="32" spans="1:20" ht="15.6" x14ac:dyDescent="0.3">
      <c r="A32" s="54"/>
      <c r="B32" s="55"/>
      <c r="C32" s="56"/>
      <c r="D32" s="57" t="s">
        <v>133</v>
      </c>
      <c r="E32" s="58">
        <f>SUM(E29:E31)</f>
        <v>12</v>
      </c>
      <c r="F32" s="57" t="s">
        <v>119</v>
      </c>
      <c r="G32" s="57"/>
      <c r="H32" s="57" t="s">
        <v>119</v>
      </c>
      <c r="I32" s="57" t="s">
        <v>119</v>
      </c>
      <c r="J32" s="57" t="s">
        <v>120</v>
      </c>
      <c r="K32" s="59">
        <f t="shared" ref="K32:Q32" si="15">SUM(K29:K31)</f>
        <v>28400</v>
      </c>
      <c r="L32" s="59">
        <f t="shared" si="15"/>
        <v>18655.57</v>
      </c>
      <c r="M32" s="59">
        <f t="shared" si="15"/>
        <v>9744.43</v>
      </c>
      <c r="N32" s="59">
        <f t="shared" si="15"/>
        <v>8053.2479338842977</v>
      </c>
      <c r="O32" s="59">
        <f t="shared" si="15"/>
        <v>1691.1820661157026</v>
      </c>
      <c r="P32" s="59">
        <f t="shared" si="15"/>
        <v>26708.817933884297</v>
      </c>
      <c r="Q32" s="59">
        <f t="shared" si="15"/>
        <v>28400</v>
      </c>
      <c r="R32" s="60">
        <f>+N32/P32</f>
        <v>0.3015201928374186</v>
      </c>
      <c r="S32" s="59">
        <f>SUM(S29:S31)</f>
        <v>3540</v>
      </c>
      <c r="T32" s="60">
        <f t="shared" si="3"/>
        <v>0.34758993561369644</v>
      </c>
    </row>
    <row r="33" spans="1:20" ht="15.6" x14ac:dyDescent="0.3">
      <c r="A33" s="32" t="s">
        <v>134</v>
      </c>
      <c r="B33" s="33" t="s">
        <v>135</v>
      </c>
      <c r="C33" s="14" t="s">
        <v>136</v>
      </c>
      <c r="D33" s="14" t="s">
        <v>137</v>
      </c>
      <c r="E33" s="5">
        <v>6</v>
      </c>
      <c r="F33" s="35" t="s">
        <v>27</v>
      </c>
      <c r="G33" s="14" t="s">
        <v>138</v>
      </c>
      <c r="H33" s="53">
        <v>46010</v>
      </c>
      <c r="I33" s="53">
        <v>46025</v>
      </c>
      <c r="J33" s="35" t="str">
        <f t="shared" si="0"/>
        <v>enero</v>
      </c>
      <c r="K33" s="36">
        <v>17797</v>
      </c>
      <c r="L33" s="37">
        <v>13361.53</v>
      </c>
      <c r="M33" s="36">
        <f>+K33-L33</f>
        <v>4435.4699999999993</v>
      </c>
      <c r="N33" s="38">
        <f t="shared" ref="N33" si="16">+M33/1.21</f>
        <v>3665.677685950413</v>
      </c>
      <c r="O33" s="39">
        <f t="shared" ref="O33" si="17">+N33*21%</f>
        <v>769.79231404958671</v>
      </c>
      <c r="P33" s="40">
        <f>+L33+N33</f>
        <v>17027.207685950412</v>
      </c>
      <c r="Q33" s="40">
        <f t="shared" ref="Q33" si="18">+O33+P33</f>
        <v>17797</v>
      </c>
      <c r="R33" s="41">
        <f t="shared" ref="R33" si="19">+N33/P33</f>
        <v>0.21528354816362863</v>
      </c>
      <c r="S33" s="61">
        <v>1424</v>
      </c>
      <c r="T33" s="43">
        <f t="shared" si="3"/>
        <v>0.23493103211406313</v>
      </c>
    </row>
    <row r="34" spans="1:20" ht="15.6" x14ac:dyDescent="0.3">
      <c r="A34" s="54"/>
      <c r="B34" s="55"/>
      <c r="C34" s="56"/>
      <c r="D34" s="57" t="s">
        <v>139</v>
      </c>
      <c r="E34" s="58">
        <f>SUM(E33:E33)</f>
        <v>6</v>
      </c>
      <c r="F34" s="57" t="s">
        <v>119</v>
      </c>
      <c r="G34" s="57"/>
      <c r="H34" s="57" t="s">
        <v>119</v>
      </c>
      <c r="I34" s="57" t="s">
        <v>119</v>
      </c>
      <c r="J34" s="57" t="s">
        <v>120</v>
      </c>
      <c r="K34" s="59">
        <f t="shared" ref="K34:Q34" si="20">SUM(K33:K33)</f>
        <v>17797</v>
      </c>
      <c r="L34" s="59">
        <f t="shared" si="20"/>
        <v>13361.53</v>
      </c>
      <c r="M34" s="59">
        <f t="shared" si="20"/>
        <v>4435.4699999999993</v>
      </c>
      <c r="N34" s="59">
        <f t="shared" si="20"/>
        <v>3665.677685950413</v>
      </c>
      <c r="O34" s="59">
        <f t="shared" si="20"/>
        <v>769.79231404958671</v>
      </c>
      <c r="P34" s="59">
        <f t="shared" si="20"/>
        <v>17027.207685950412</v>
      </c>
      <c r="Q34" s="59">
        <f t="shared" si="20"/>
        <v>17797</v>
      </c>
      <c r="R34" s="60">
        <f>+N34/P34</f>
        <v>0.21528354816362863</v>
      </c>
      <c r="S34" s="59">
        <f>SUM(S33:S33)</f>
        <v>1424</v>
      </c>
      <c r="T34" s="60">
        <f t="shared" si="3"/>
        <v>0.23493103211406313</v>
      </c>
    </row>
    <row r="35" spans="1:20" ht="15.6" x14ac:dyDescent="0.3">
      <c r="A35" s="32" t="s">
        <v>140</v>
      </c>
      <c r="B35" s="33" t="s">
        <v>141</v>
      </c>
      <c r="C35" s="14" t="s">
        <v>142</v>
      </c>
      <c r="D35" s="14" t="s">
        <v>143</v>
      </c>
      <c r="E35" s="5">
        <v>4</v>
      </c>
      <c r="F35" s="35" t="s">
        <v>33</v>
      </c>
      <c r="G35" s="35" t="s">
        <v>144</v>
      </c>
      <c r="H35" s="34">
        <v>46019</v>
      </c>
      <c r="I35" s="34">
        <v>46025</v>
      </c>
      <c r="J35" s="35" t="str">
        <f t="shared" si="0"/>
        <v>enero</v>
      </c>
      <c r="K35" s="36">
        <v>18728</v>
      </c>
      <c r="L35" s="37">
        <v>13619.26</v>
      </c>
      <c r="M35" s="36">
        <f t="shared" ref="M35:M40" si="21">+K35-L35</f>
        <v>5108.74</v>
      </c>
      <c r="N35" s="38">
        <f t="shared" ref="N35:N40" si="22">+M35/1.21</f>
        <v>4222.0991735537191</v>
      </c>
      <c r="O35" s="39">
        <f t="shared" ref="O35:O40" si="23">+N35*21%</f>
        <v>886.64082644628093</v>
      </c>
      <c r="P35" s="40">
        <f t="shared" ref="P35:P40" si="24">+L35+N35</f>
        <v>17841.359173553719</v>
      </c>
      <c r="Q35" s="40">
        <f t="shared" ref="Q35:Q40" si="25">+O35+P35</f>
        <v>18728</v>
      </c>
      <c r="R35" s="41">
        <f t="shared" ref="R35:R40" si="26">+N35/P35</f>
        <v>0.23664672251047694</v>
      </c>
      <c r="S35" s="42">
        <v>0</v>
      </c>
      <c r="T35" s="43">
        <f t="shared" si="3"/>
        <v>0.23664672251047694</v>
      </c>
    </row>
    <row r="36" spans="1:20" ht="15.6" x14ac:dyDescent="0.3">
      <c r="A36" s="32" t="s">
        <v>145</v>
      </c>
      <c r="B36" s="33" t="s">
        <v>141</v>
      </c>
      <c r="C36" s="14" t="s">
        <v>142</v>
      </c>
      <c r="D36" s="14" t="s">
        <v>146</v>
      </c>
      <c r="E36" s="5">
        <v>4</v>
      </c>
      <c r="F36" s="35" t="s">
        <v>48</v>
      </c>
      <c r="G36" s="35" t="s">
        <v>144</v>
      </c>
      <c r="H36" s="34">
        <v>46017</v>
      </c>
      <c r="I36" s="34">
        <v>46025</v>
      </c>
      <c r="J36" s="35" t="str">
        <f t="shared" si="0"/>
        <v>enero</v>
      </c>
      <c r="K36" s="36">
        <v>23619</v>
      </c>
      <c r="L36" s="37">
        <v>18052.88</v>
      </c>
      <c r="M36" s="36">
        <f t="shared" si="21"/>
        <v>5566.119999999999</v>
      </c>
      <c r="N36" s="38">
        <f t="shared" si="22"/>
        <v>4600.0991735537182</v>
      </c>
      <c r="O36" s="39">
        <f t="shared" si="23"/>
        <v>966.02082644628081</v>
      </c>
      <c r="P36" s="40">
        <f t="shared" si="24"/>
        <v>22652.979173553718</v>
      </c>
      <c r="Q36" s="40">
        <f t="shared" si="25"/>
        <v>23619</v>
      </c>
      <c r="R36" s="41">
        <f t="shared" si="26"/>
        <v>0.20306817652152861</v>
      </c>
      <c r="S36" s="61">
        <v>0</v>
      </c>
      <c r="T36" s="43">
        <f t="shared" si="3"/>
        <v>0.20306817652152861</v>
      </c>
    </row>
    <row r="37" spans="1:20" ht="15.6" x14ac:dyDescent="0.3">
      <c r="A37" s="32" t="s">
        <v>147</v>
      </c>
      <c r="B37" s="33">
        <v>36342</v>
      </c>
      <c r="C37" s="14" t="s">
        <v>148</v>
      </c>
      <c r="D37" s="14" t="s">
        <v>149</v>
      </c>
      <c r="E37" s="5">
        <v>4</v>
      </c>
      <c r="F37" s="35" t="s">
        <v>43</v>
      </c>
      <c r="G37" s="35" t="s">
        <v>144</v>
      </c>
      <c r="H37" s="34">
        <v>46018</v>
      </c>
      <c r="I37" s="34">
        <v>46026</v>
      </c>
      <c r="J37" s="35" t="str">
        <f t="shared" si="0"/>
        <v>enero</v>
      </c>
      <c r="K37" s="36">
        <v>41773</v>
      </c>
      <c r="L37" s="37">
        <v>29935.09</v>
      </c>
      <c r="M37" s="36">
        <f t="shared" si="21"/>
        <v>11837.91</v>
      </c>
      <c r="N37" s="38">
        <f t="shared" si="22"/>
        <v>9783.3966942148763</v>
      </c>
      <c r="O37" s="39">
        <f t="shared" si="23"/>
        <v>2054.513305785124</v>
      </c>
      <c r="P37" s="40">
        <f t="shared" si="24"/>
        <v>39718.48669421488</v>
      </c>
      <c r="Q37" s="40">
        <f t="shared" si="25"/>
        <v>41773.000000000007</v>
      </c>
      <c r="R37" s="41">
        <f t="shared" si="26"/>
        <v>0.24631846549279177</v>
      </c>
      <c r="S37" s="61">
        <v>4830</v>
      </c>
      <c r="T37" s="43">
        <f t="shared" si="3"/>
        <v>0.28041906145035334</v>
      </c>
    </row>
    <row r="38" spans="1:20" ht="15.6" x14ac:dyDescent="0.3">
      <c r="A38" s="32" t="s">
        <v>150</v>
      </c>
      <c r="B38" s="33" t="s">
        <v>141</v>
      </c>
      <c r="C38" s="14" t="s">
        <v>142</v>
      </c>
      <c r="D38" s="14" t="s">
        <v>151</v>
      </c>
      <c r="E38" s="5">
        <v>7</v>
      </c>
      <c r="F38" s="35" t="s">
        <v>48</v>
      </c>
      <c r="G38" s="35" t="s">
        <v>144</v>
      </c>
      <c r="H38" s="34">
        <v>46025</v>
      </c>
      <c r="I38" s="34">
        <v>46036</v>
      </c>
      <c r="J38" s="35" t="str">
        <f t="shared" si="0"/>
        <v>enero</v>
      </c>
      <c r="K38" s="36">
        <v>69878</v>
      </c>
      <c r="L38" s="37">
        <v>50732.99</v>
      </c>
      <c r="M38" s="36">
        <f t="shared" si="21"/>
        <v>19145.010000000002</v>
      </c>
      <c r="N38" s="38">
        <f t="shared" si="22"/>
        <v>15822.322314049588</v>
      </c>
      <c r="O38" s="39">
        <f t="shared" si="23"/>
        <v>3322.6876859504137</v>
      </c>
      <c r="P38" s="40">
        <f t="shared" si="24"/>
        <v>66555.312314049588</v>
      </c>
      <c r="Q38" s="40">
        <f t="shared" si="25"/>
        <v>69878</v>
      </c>
      <c r="R38" s="41">
        <f t="shared" si="26"/>
        <v>0.23773192197476253</v>
      </c>
      <c r="S38" s="61">
        <v>0</v>
      </c>
      <c r="T38" s="43">
        <f t="shared" si="3"/>
        <v>0.23773192197476253</v>
      </c>
    </row>
    <row r="39" spans="1:20" ht="15.6" x14ac:dyDescent="0.3">
      <c r="A39" s="32" t="s">
        <v>152</v>
      </c>
      <c r="B39" s="33" t="s">
        <v>141</v>
      </c>
      <c r="C39" s="14" t="s">
        <v>142</v>
      </c>
      <c r="D39" s="14" t="s">
        <v>153</v>
      </c>
      <c r="E39" s="5">
        <v>8</v>
      </c>
      <c r="F39" s="35" t="s">
        <v>27</v>
      </c>
      <c r="G39" s="35" t="s">
        <v>144</v>
      </c>
      <c r="H39" s="34">
        <v>46012</v>
      </c>
      <c r="I39" s="34">
        <v>46023</v>
      </c>
      <c r="J39" s="35" t="str">
        <f t="shared" si="0"/>
        <v>enero</v>
      </c>
      <c r="K39" s="36">
        <v>26267</v>
      </c>
      <c r="L39" s="37">
        <v>22483.31</v>
      </c>
      <c r="M39" s="36">
        <f t="shared" si="21"/>
        <v>3783.6899999999987</v>
      </c>
      <c r="N39" s="38">
        <f t="shared" si="22"/>
        <v>3127.0165289256188</v>
      </c>
      <c r="O39" s="39">
        <f t="shared" si="23"/>
        <v>656.6734710743799</v>
      </c>
      <c r="P39" s="40">
        <f t="shared" si="24"/>
        <v>25610.32652892562</v>
      </c>
      <c r="Q39" s="40">
        <f t="shared" si="25"/>
        <v>26267</v>
      </c>
      <c r="R39" s="41">
        <f t="shared" si="26"/>
        <v>0.1220998305271042</v>
      </c>
      <c r="S39" s="61">
        <v>0</v>
      </c>
      <c r="T39" s="43">
        <f t="shared" si="3"/>
        <v>0.1220998305271042</v>
      </c>
    </row>
    <row r="40" spans="1:20" ht="15.6" x14ac:dyDescent="0.3">
      <c r="A40" s="32" t="s">
        <v>154</v>
      </c>
      <c r="B40" s="33" t="s">
        <v>155</v>
      </c>
      <c r="C40" s="35" t="s">
        <v>156</v>
      </c>
      <c r="D40" s="35" t="s">
        <v>157</v>
      </c>
      <c r="E40" s="5">
        <v>3</v>
      </c>
      <c r="F40" s="35" t="s">
        <v>27</v>
      </c>
      <c r="G40" s="35" t="s">
        <v>144</v>
      </c>
      <c r="H40" s="34">
        <v>46026</v>
      </c>
      <c r="I40" s="34">
        <v>46033</v>
      </c>
      <c r="J40" s="35" t="str">
        <f t="shared" si="0"/>
        <v>enero</v>
      </c>
      <c r="K40" s="36">
        <v>9729</v>
      </c>
      <c r="L40" s="37">
        <v>6177.45</v>
      </c>
      <c r="M40" s="36">
        <f t="shared" si="21"/>
        <v>3551.55</v>
      </c>
      <c r="N40" s="38">
        <f t="shared" si="22"/>
        <v>2935.1652892561988</v>
      </c>
      <c r="O40" s="39">
        <f t="shared" si="23"/>
        <v>616.38471074380175</v>
      </c>
      <c r="P40" s="40">
        <f t="shared" si="24"/>
        <v>9112.6152892561986</v>
      </c>
      <c r="Q40" s="40">
        <f t="shared" si="25"/>
        <v>9729</v>
      </c>
      <c r="R40" s="41">
        <f t="shared" si="26"/>
        <v>0.32209911162570065</v>
      </c>
      <c r="S40" s="61">
        <v>1167</v>
      </c>
      <c r="T40" s="43">
        <f t="shared" si="3"/>
        <v>0.36940692223357874</v>
      </c>
    </row>
    <row r="41" spans="1:20" ht="15.6" x14ac:dyDescent="0.3">
      <c r="A41" s="54"/>
      <c r="B41" s="55"/>
      <c r="C41" s="56"/>
      <c r="D41" s="62" t="s">
        <v>158</v>
      </c>
      <c r="E41" s="58">
        <f>SUM(E35:E40)</f>
        <v>30</v>
      </c>
      <c r="F41" s="57" t="s">
        <v>119</v>
      </c>
      <c r="G41" s="57"/>
      <c r="H41" s="57" t="s">
        <v>119</v>
      </c>
      <c r="I41" s="57" t="s">
        <v>119</v>
      </c>
      <c r="J41" s="57" t="s">
        <v>120</v>
      </c>
      <c r="K41" s="59">
        <f t="shared" ref="K41:Q41" si="27">SUM(K35:K40)</f>
        <v>189994</v>
      </c>
      <c r="L41" s="59">
        <f t="shared" si="27"/>
        <v>141000.98000000001</v>
      </c>
      <c r="M41" s="59">
        <f t="shared" si="27"/>
        <v>48993.020000000004</v>
      </c>
      <c r="N41" s="59">
        <f t="shared" si="27"/>
        <v>40490.099173553717</v>
      </c>
      <c r="O41" s="59">
        <f t="shared" si="27"/>
        <v>8502.9208264462814</v>
      </c>
      <c r="P41" s="59">
        <f t="shared" si="27"/>
        <v>181491.07917355374</v>
      </c>
      <c r="Q41" s="59">
        <f t="shared" si="27"/>
        <v>189994</v>
      </c>
      <c r="R41" s="60">
        <f>+N41/P41</f>
        <v>0.2230969111976816</v>
      </c>
      <c r="S41" s="59">
        <f>SUM(S35:S40)</f>
        <v>5997</v>
      </c>
      <c r="T41" s="60">
        <f>+N41/(P41-S41)</f>
        <v>0.230720599602174</v>
      </c>
    </row>
    <row r="42" spans="1:20" ht="15.6" x14ac:dyDescent="0.3">
      <c r="A42" s="32" t="s">
        <v>159</v>
      </c>
      <c r="B42" s="33">
        <v>37176</v>
      </c>
      <c r="C42" s="35" t="s">
        <v>160</v>
      </c>
      <c r="D42" s="35" t="s">
        <v>161</v>
      </c>
      <c r="E42" s="5">
        <v>7</v>
      </c>
      <c r="F42" s="35" t="s">
        <v>57</v>
      </c>
      <c r="G42" s="35" t="s">
        <v>162</v>
      </c>
      <c r="H42" s="34">
        <v>46048</v>
      </c>
      <c r="I42" s="34">
        <v>46048</v>
      </c>
      <c r="J42" s="35" t="str">
        <f t="shared" si="0"/>
        <v>enero</v>
      </c>
      <c r="K42" s="40">
        <v>300</v>
      </c>
      <c r="L42" s="40">
        <v>0</v>
      </c>
      <c r="M42" s="36">
        <f>+K42-L42</f>
        <v>300</v>
      </c>
      <c r="N42" s="38">
        <f t="shared" ref="N42" si="28">+M42/1.21</f>
        <v>247.93388429752068</v>
      </c>
      <c r="O42" s="39">
        <f t="shared" ref="O42" si="29">+N42*21%</f>
        <v>52.066115702479337</v>
      </c>
      <c r="P42" s="40">
        <f>+L42+N42</f>
        <v>247.93388429752068</v>
      </c>
      <c r="Q42" s="40">
        <f t="shared" ref="Q42" si="30">+O42+P42</f>
        <v>300</v>
      </c>
      <c r="R42" s="41">
        <f t="shared" ref="R42:R62" si="31">+N42/P42</f>
        <v>1</v>
      </c>
      <c r="S42" s="61">
        <v>0</v>
      </c>
      <c r="T42" s="43">
        <f t="shared" si="3"/>
        <v>1</v>
      </c>
    </row>
    <row r="43" spans="1:20" ht="15.6" x14ac:dyDescent="0.3">
      <c r="A43" s="54"/>
      <c r="B43" s="55"/>
      <c r="C43" s="57"/>
      <c r="D43" s="62" t="s">
        <v>163</v>
      </c>
      <c r="E43" s="58">
        <f>SUM(E42:E42)</f>
        <v>7</v>
      </c>
      <c r="F43" s="57" t="s">
        <v>119</v>
      </c>
      <c r="G43" s="57"/>
      <c r="H43" s="63" t="s">
        <v>119</v>
      </c>
      <c r="I43" s="63" t="s">
        <v>119</v>
      </c>
      <c r="J43" s="57" t="s">
        <v>120</v>
      </c>
      <c r="K43" s="59">
        <f t="shared" ref="K43:Q43" si="32">SUM(K42:K42)</f>
        <v>300</v>
      </c>
      <c r="L43" s="59">
        <f t="shared" si="32"/>
        <v>0</v>
      </c>
      <c r="M43" s="59">
        <f t="shared" si="32"/>
        <v>300</v>
      </c>
      <c r="N43" s="64">
        <f t="shared" si="32"/>
        <v>247.93388429752068</v>
      </c>
      <c r="O43" s="64">
        <f t="shared" si="32"/>
        <v>52.066115702479337</v>
      </c>
      <c r="P43" s="64">
        <f t="shared" si="32"/>
        <v>247.93388429752068</v>
      </c>
      <c r="Q43" s="64">
        <f t="shared" si="32"/>
        <v>300</v>
      </c>
      <c r="R43" s="60">
        <f t="shared" si="31"/>
        <v>1</v>
      </c>
      <c r="S43" s="64">
        <f>SUM(S42:S42)</f>
        <v>0</v>
      </c>
      <c r="T43" s="60">
        <f t="shared" si="3"/>
        <v>1</v>
      </c>
    </row>
    <row r="44" spans="1:20" ht="15.6" x14ac:dyDescent="0.3">
      <c r="A44" s="32" t="s">
        <v>164</v>
      </c>
      <c r="B44" s="33">
        <v>36087</v>
      </c>
      <c r="C44" s="35" t="s">
        <v>160</v>
      </c>
      <c r="D44" s="35" t="s">
        <v>165</v>
      </c>
      <c r="E44" s="5">
        <v>5</v>
      </c>
      <c r="F44" s="35" t="s">
        <v>166</v>
      </c>
      <c r="G44" s="35" t="s">
        <v>167</v>
      </c>
      <c r="H44" s="34">
        <v>46016</v>
      </c>
      <c r="I44" s="34">
        <v>46025</v>
      </c>
      <c r="J44" s="35" t="str">
        <f t="shared" si="0"/>
        <v>enero</v>
      </c>
      <c r="K44" s="36">
        <v>23165</v>
      </c>
      <c r="L44" s="37">
        <v>16732.96</v>
      </c>
      <c r="M44" s="36">
        <f>+K44-L44</f>
        <v>6432.0400000000009</v>
      </c>
      <c r="N44" s="38">
        <f>+M44/1.21</f>
        <v>5315.735537190084</v>
      </c>
      <c r="O44" s="39">
        <f>+N44*21%</f>
        <v>1116.3044628099176</v>
      </c>
      <c r="P44" s="40">
        <f>+L44+N44</f>
        <v>22048.695537190084</v>
      </c>
      <c r="Q44" s="40">
        <f>+O44+P44</f>
        <v>23165</v>
      </c>
      <c r="R44" s="41">
        <f t="shared" si="31"/>
        <v>0.24109070435590624</v>
      </c>
      <c r="S44" s="61">
        <v>0</v>
      </c>
      <c r="T44" s="43">
        <f>+N44/(P44-S44)</f>
        <v>0.24109070435590624</v>
      </c>
    </row>
    <row r="45" spans="1:20" ht="15.6" x14ac:dyDescent="0.3">
      <c r="A45" s="32" t="s">
        <v>168</v>
      </c>
      <c r="B45" s="33">
        <v>37326</v>
      </c>
      <c r="C45" s="35" t="s">
        <v>160</v>
      </c>
      <c r="D45" s="35" t="s">
        <v>169</v>
      </c>
      <c r="E45" s="5">
        <v>4</v>
      </c>
      <c r="F45" s="35" t="s">
        <v>92</v>
      </c>
      <c r="G45" s="35" t="s">
        <v>167</v>
      </c>
      <c r="H45" s="34">
        <v>46045</v>
      </c>
      <c r="I45" s="34">
        <v>46053</v>
      </c>
      <c r="J45" s="35" t="str">
        <f t="shared" si="0"/>
        <v>enero</v>
      </c>
      <c r="K45" s="36">
        <v>16546</v>
      </c>
      <c r="L45" s="37">
        <v>11947.48</v>
      </c>
      <c r="M45" s="36">
        <f>+K45-L45</f>
        <v>4598.5200000000004</v>
      </c>
      <c r="N45" s="38">
        <f>+M45/1.21</f>
        <v>3800.4297520661162</v>
      </c>
      <c r="O45" s="39">
        <f>+N45*21%</f>
        <v>798.09024793388437</v>
      </c>
      <c r="P45" s="40">
        <f>+L45+N45</f>
        <v>15747.909752066116</v>
      </c>
      <c r="Q45" s="40">
        <f>+O45+P45</f>
        <v>16546</v>
      </c>
      <c r="R45" s="41">
        <f t="shared" si="31"/>
        <v>0.24132915491006685</v>
      </c>
      <c r="S45" s="61">
        <v>0</v>
      </c>
      <c r="T45" s="43">
        <f>+N45/(P45-S45)</f>
        <v>0.24132915491006685</v>
      </c>
    </row>
    <row r="46" spans="1:20" ht="15.6" x14ac:dyDescent="0.3">
      <c r="A46" s="54"/>
      <c r="B46" s="55"/>
      <c r="C46" s="56"/>
      <c r="D46" s="62" t="s">
        <v>170</v>
      </c>
      <c r="E46" s="58">
        <f>SUM(E44:E45)</f>
        <v>9</v>
      </c>
      <c r="F46" s="57" t="s">
        <v>119</v>
      </c>
      <c r="G46" s="57"/>
      <c r="H46" s="57"/>
      <c r="I46" s="57"/>
      <c r="J46" s="57" t="s">
        <v>120</v>
      </c>
      <c r="K46" s="59">
        <f t="shared" ref="K46:Q46" si="33">SUM(K44:K45)</f>
        <v>39711</v>
      </c>
      <c r="L46" s="59">
        <f t="shared" si="33"/>
        <v>28680.44</v>
      </c>
      <c r="M46" s="59">
        <f t="shared" si="33"/>
        <v>11030.560000000001</v>
      </c>
      <c r="N46" s="59">
        <f t="shared" si="33"/>
        <v>9116.1652892561997</v>
      </c>
      <c r="O46" s="59">
        <f t="shared" si="33"/>
        <v>1914.3947107438021</v>
      </c>
      <c r="P46" s="59">
        <f t="shared" si="33"/>
        <v>37796.6052892562</v>
      </c>
      <c r="Q46" s="59">
        <f t="shared" si="33"/>
        <v>39711</v>
      </c>
      <c r="R46" s="60">
        <f t="shared" si="31"/>
        <v>0.24119005449009193</v>
      </c>
      <c r="S46" s="59">
        <f>SUM(S44:S45)</f>
        <v>0</v>
      </c>
      <c r="T46" s="60">
        <f t="shared" si="3"/>
        <v>0.24119005449009193</v>
      </c>
    </row>
    <row r="47" spans="1:20" ht="16.2" thickBot="1" x14ac:dyDescent="0.35">
      <c r="A47" s="65"/>
      <c r="B47" s="66"/>
      <c r="C47" s="65"/>
      <c r="D47" s="67" t="s">
        <v>171</v>
      </c>
      <c r="E47" s="68">
        <f>+E46+E41+E34+E32+E28+E43</f>
        <v>158</v>
      </c>
      <c r="F47" s="67" t="s">
        <v>119</v>
      </c>
      <c r="G47" s="67"/>
      <c r="H47" s="65"/>
      <c r="I47" s="65"/>
      <c r="J47" s="67" t="s">
        <v>120</v>
      </c>
      <c r="K47" s="69">
        <f t="shared" ref="K47:Q47" si="34">+K46+K41+K34+K32+K28+K43</f>
        <v>700166</v>
      </c>
      <c r="L47" s="69">
        <f t="shared" si="34"/>
        <v>535403.82000000007</v>
      </c>
      <c r="M47" s="69">
        <f t="shared" si="34"/>
        <v>164762.18000000005</v>
      </c>
      <c r="N47" s="69">
        <f t="shared" si="34"/>
        <v>136167.09090909091</v>
      </c>
      <c r="O47" s="70">
        <f t="shared" si="34"/>
        <v>28595.089090909089</v>
      </c>
      <c r="P47" s="70">
        <f t="shared" si="34"/>
        <v>671570.91090909089</v>
      </c>
      <c r="Q47" s="70">
        <f t="shared" si="34"/>
        <v>700166</v>
      </c>
      <c r="R47" s="71">
        <f t="shared" si="31"/>
        <v>0.2027590663877393</v>
      </c>
      <c r="S47" s="70">
        <f>+S46+S41+S34+S32+S28+S43</f>
        <v>82220</v>
      </c>
      <c r="T47" s="71">
        <f t="shared" si="3"/>
        <v>0.23104586484654654</v>
      </c>
    </row>
    <row r="48" spans="1:20" ht="16.2" thickTop="1" x14ac:dyDescent="0.3">
      <c r="A48" s="32" t="s">
        <v>172</v>
      </c>
      <c r="B48" s="33" t="s">
        <v>173</v>
      </c>
      <c r="C48" s="35" t="s">
        <v>174</v>
      </c>
      <c r="D48" s="14" t="s">
        <v>175</v>
      </c>
      <c r="E48" s="5">
        <v>4</v>
      </c>
      <c r="F48" s="35" t="s">
        <v>57</v>
      </c>
      <c r="G48" s="14" t="s">
        <v>28</v>
      </c>
      <c r="H48" s="34">
        <v>46068</v>
      </c>
      <c r="I48" s="34">
        <v>46077</v>
      </c>
      <c r="J48" s="35" t="str">
        <f t="shared" ref="J48:J53" si="35">TEXT(I48,"mmmm")</f>
        <v>febrero</v>
      </c>
      <c r="K48" s="36">
        <v>25787</v>
      </c>
      <c r="L48" s="37">
        <v>18839.62</v>
      </c>
      <c r="M48" s="36">
        <f t="shared" ref="M48:M60" si="36">+K48-L48</f>
        <v>6947.380000000001</v>
      </c>
      <c r="N48" s="38">
        <f t="shared" ref="N48:N60" si="37">+M48/1.21</f>
        <v>5741.6363636363649</v>
      </c>
      <c r="O48" s="39">
        <f t="shared" ref="O48:O60" si="38">+N48*21%</f>
        <v>1205.7436363636366</v>
      </c>
      <c r="P48" s="40">
        <f t="shared" ref="P48:P60" si="39">+L48+N48</f>
        <v>24581.256363636363</v>
      </c>
      <c r="Q48" s="40">
        <f t="shared" ref="Q48:Q60" si="40">+O48+P48</f>
        <v>25787</v>
      </c>
      <c r="R48" s="41">
        <f t="shared" si="31"/>
        <v>0.23357782363517041</v>
      </c>
      <c r="S48" s="72">
        <v>3825</v>
      </c>
      <c r="T48" s="43">
        <f t="shared" si="3"/>
        <v>0.27662196221932128</v>
      </c>
    </row>
    <row r="49" spans="1:20" ht="15.6" x14ac:dyDescent="0.3">
      <c r="A49" s="32" t="s">
        <v>176</v>
      </c>
      <c r="B49" s="33" t="s">
        <v>177</v>
      </c>
      <c r="C49" s="35" t="s">
        <v>178</v>
      </c>
      <c r="D49" s="35" t="s">
        <v>179</v>
      </c>
      <c r="E49" s="5">
        <v>1</v>
      </c>
      <c r="F49" s="35" t="s">
        <v>180</v>
      </c>
      <c r="G49" s="14" t="s">
        <v>28</v>
      </c>
      <c r="H49" s="34">
        <v>46075</v>
      </c>
      <c r="I49" s="34">
        <v>46075</v>
      </c>
      <c r="J49" s="35" t="str">
        <f t="shared" si="35"/>
        <v>febrero</v>
      </c>
      <c r="K49" s="36">
        <v>658</v>
      </c>
      <c r="L49" s="37">
        <v>367.01</v>
      </c>
      <c r="M49" s="36">
        <f t="shared" si="36"/>
        <v>290.99</v>
      </c>
      <c r="N49" s="38">
        <f t="shared" si="37"/>
        <v>240.48760330578514</v>
      </c>
      <c r="O49" s="39">
        <f t="shared" si="38"/>
        <v>50.50239669421488</v>
      </c>
      <c r="P49" s="40">
        <f t="shared" si="39"/>
        <v>607.49760330578511</v>
      </c>
      <c r="Q49" s="40">
        <f t="shared" si="40"/>
        <v>658</v>
      </c>
      <c r="R49" s="41">
        <f t="shared" si="31"/>
        <v>0.39586592934216935</v>
      </c>
      <c r="S49" s="72">
        <v>0</v>
      </c>
      <c r="T49" s="43">
        <f t="shared" si="3"/>
        <v>0.39586592934216935</v>
      </c>
    </row>
    <row r="50" spans="1:20" ht="15.6" x14ac:dyDescent="0.3">
      <c r="A50" s="32" t="s">
        <v>181</v>
      </c>
      <c r="B50" s="33" t="s">
        <v>182</v>
      </c>
      <c r="C50" s="35" t="s">
        <v>183</v>
      </c>
      <c r="D50" s="14" t="s">
        <v>184</v>
      </c>
      <c r="E50" s="5">
        <v>2</v>
      </c>
      <c r="F50" s="35" t="s">
        <v>185</v>
      </c>
      <c r="G50" s="14" t="s">
        <v>28</v>
      </c>
      <c r="H50" s="34">
        <v>46065</v>
      </c>
      <c r="I50" s="34">
        <v>46074</v>
      </c>
      <c r="J50" s="35" t="str">
        <f t="shared" si="35"/>
        <v>febrero</v>
      </c>
      <c r="K50" s="36">
        <v>15088</v>
      </c>
      <c r="L50" s="37">
        <v>9968.64</v>
      </c>
      <c r="M50" s="36">
        <f t="shared" si="36"/>
        <v>5119.3600000000006</v>
      </c>
      <c r="N50" s="38">
        <f t="shared" si="37"/>
        <v>4230.8760330578516</v>
      </c>
      <c r="O50" s="39">
        <f t="shared" si="38"/>
        <v>888.48396694214875</v>
      </c>
      <c r="P50" s="40">
        <f t="shared" si="39"/>
        <v>14199.516033057851</v>
      </c>
      <c r="Q50" s="40">
        <f t="shared" si="40"/>
        <v>15088</v>
      </c>
      <c r="R50" s="41">
        <f t="shared" si="31"/>
        <v>0.29795917151035017</v>
      </c>
      <c r="S50" s="72">
        <v>1796</v>
      </c>
      <c r="T50" s="43">
        <f t="shared" si="3"/>
        <v>0.34110295998180845</v>
      </c>
    </row>
    <row r="51" spans="1:20" ht="15.6" x14ac:dyDescent="0.3">
      <c r="A51" s="32" t="s">
        <v>186</v>
      </c>
      <c r="B51" s="33" t="s">
        <v>187</v>
      </c>
      <c r="C51" s="35" t="s">
        <v>188</v>
      </c>
      <c r="D51" s="14" t="s">
        <v>189</v>
      </c>
      <c r="E51" s="5">
        <v>2</v>
      </c>
      <c r="F51" s="35" t="s">
        <v>33</v>
      </c>
      <c r="G51" s="14" t="s">
        <v>28</v>
      </c>
      <c r="H51" s="34">
        <v>46072</v>
      </c>
      <c r="I51" s="34">
        <v>46080</v>
      </c>
      <c r="J51" s="35" t="str">
        <f t="shared" si="35"/>
        <v>febrero</v>
      </c>
      <c r="K51" s="36">
        <v>7830.2</v>
      </c>
      <c r="L51" s="37">
        <v>5489.31</v>
      </c>
      <c r="M51" s="36">
        <f t="shared" si="36"/>
        <v>2340.8899999999994</v>
      </c>
      <c r="N51" s="38">
        <f t="shared" si="37"/>
        <v>1934.6198347107434</v>
      </c>
      <c r="O51" s="39">
        <f t="shared" si="38"/>
        <v>406.27016528925611</v>
      </c>
      <c r="P51" s="40">
        <f t="shared" si="39"/>
        <v>7423.9298347107433</v>
      </c>
      <c r="Q51" s="40">
        <f t="shared" si="40"/>
        <v>7830.2</v>
      </c>
      <c r="R51" s="41">
        <f t="shared" si="31"/>
        <v>0.26059241908044267</v>
      </c>
      <c r="S51" s="72">
        <v>1007</v>
      </c>
      <c r="T51" s="43">
        <f t="shared" si="3"/>
        <v>0.3014868300796919</v>
      </c>
    </row>
    <row r="52" spans="1:20" ht="15.6" x14ac:dyDescent="0.3">
      <c r="A52" s="32" t="s">
        <v>190</v>
      </c>
      <c r="B52" s="33" t="s">
        <v>191</v>
      </c>
      <c r="C52" s="35" t="s">
        <v>192</v>
      </c>
      <c r="D52" s="14" t="s">
        <v>193</v>
      </c>
      <c r="E52" s="5">
        <v>6</v>
      </c>
      <c r="F52" s="35" t="s">
        <v>43</v>
      </c>
      <c r="G52" s="14" t="s">
        <v>28</v>
      </c>
      <c r="H52" s="34">
        <v>46070</v>
      </c>
      <c r="I52" s="34">
        <v>46079</v>
      </c>
      <c r="J52" s="35" t="str">
        <f t="shared" si="35"/>
        <v>febrero</v>
      </c>
      <c r="K52" s="36">
        <v>24447</v>
      </c>
      <c r="L52" s="37">
        <v>19109.919999999998</v>
      </c>
      <c r="M52" s="36">
        <f t="shared" si="36"/>
        <v>5337.0800000000017</v>
      </c>
      <c r="N52" s="38">
        <f t="shared" si="37"/>
        <v>4410.8099173553737</v>
      </c>
      <c r="O52" s="39">
        <f t="shared" si="38"/>
        <v>926.27008264462847</v>
      </c>
      <c r="P52" s="40">
        <f t="shared" si="39"/>
        <v>23520.729917355373</v>
      </c>
      <c r="Q52" s="40">
        <f t="shared" si="40"/>
        <v>24447</v>
      </c>
      <c r="R52" s="41">
        <f t="shared" si="31"/>
        <v>0.18752861551718872</v>
      </c>
      <c r="S52" s="72">
        <v>3911</v>
      </c>
      <c r="T52" s="43">
        <f t="shared" si="3"/>
        <v>0.2249296617518243</v>
      </c>
    </row>
    <row r="53" spans="1:20" ht="15.6" x14ac:dyDescent="0.3">
      <c r="A53" s="32" t="s">
        <v>194</v>
      </c>
      <c r="B53" s="33" t="s">
        <v>35</v>
      </c>
      <c r="C53" s="35" t="s">
        <v>36</v>
      </c>
      <c r="D53" s="14" t="s">
        <v>195</v>
      </c>
      <c r="E53" s="73">
        <v>4</v>
      </c>
      <c r="F53" s="35" t="s">
        <v>196</v>
      </c>
      <c r="G53" s="14" t="s">
        <v>28</v>
      </c>
      <c r="H53" s="34">
        <v>46072</v>
      </c>
      <c r="I53" s="34">
        <v>46076</v>
      </c>
      <c r="J53" s="35" t="str">
        <f t="shared" si="35"/>
        <v>febrero</v>
      </c>
      <c r="K53" s="36">
        <v>7164</v>
      </c>
      <c r="L53" s="37">
        <v>4704.09</v>
      </c>
      <c r="M53" s="36">
        <f t="shared" si="36"/>
        <v>2459.91</v>
      </c>
      <c r="N53" s="38">
        <f t="shared" si="37"/>
        <v>2032.9834710743801</v>
      </c>
      <c r="O53" s="39">
        <f t="shared" si="38"/>
        <v>426.92652892561978</v>
      </c>
      <c r="P53" s="40">
        <f t="shared" si="39"/>
        <v>6737.07347107438</v>
      </c>
      <c r="Q53" s="40">
        <f t="shared" si="40"/>
        <v>7164</v>
      </c>
      <c r="R53" s="41">
        <f t="shared" si="31"/>
        <v>0.30176062051319363</v>
      </c>
      <c r="S53" s="72">
        <v>1002</v>
      </c>
      <c r="T53" s="43">
        <f t="shared" si="3"/>
        <v>0.354482550455196</v>
      </c>
    </row>
    <row r="54" spans="1:20" ht="15.6" x14ac:dyDescent="0.3">
      <c r="A54" s="32" t="s">
        <v>197</v>
      </c>
      <c r="B54" s="33" t="s">
        <v>191</v>
      </c>
      <c r="C54" s="35" t="s">
        <v>192</v>
      </c>
      <c r="D54" s="35" t="s">
        <v>198</v>
      </c>
      <c r="E54" s="73">
        <v>4</v>
      </c>
      <c r="F54" s="35" t="s">
        <v>180</v>
      </c>
      <c r="G54" s="14" t="s">
        <v>28</v>
      </c>
      <c r="H54" s="34">
        <v>46076</v>
      </c>
      <c r="I54" s="34">
        <v>46079</v>
      </c>
      <c r="J54" s="35" t="str">
        <f>TEXT(I54,"mmmm")</f>
        <v>febrero</v>
      </c>
      <c r="K54" s="36">
        <v>9285</v>
      </c>
      <c r="L54" s="37">
        <v>7269.64</v>
      </c>
      <c r="M54" s="36">
        <f t="shared" si="36"/>
        <v>2015.3599999999997</v>
      </c>
      <c r="N54" s="38">
        <f t="shared" si="37"/>
        <v>1665.586776859504</v>
      </c>
      <c r="O54" s="39">
        <f t="shared" si="38"/>
        <v>349.77322314049582</v>
      </c>
      <c r="P54" s="40">
        <f t="shared" si="39"/>
        <v>8935.2267768595048</v>
      </c>
      <c r="Q54" s="40">
        <f t="shared" si="40"/>
        <v>9285</v>
      </c>
      <c r="R54" s="41">
        <f t="shared" si="31"/>
        <v>0.18640677158559074</v>
      </c>
      <c r="S54" s="72">
        <v>1488</v>
      </c>
      <c r="T54" s="43">
        <f t="shared" si="3"/>
        <v>0.22365194813657627</v>
      </c>
    </row>
    <row r="55" spans="1:20" ht="15.6" x14ac:dyDescent="0.3">
      <c r="A55" s="32" t="s">
        <v>199</v>
      </c>
      <c r="B55" s="33" t="s">
        <v>200</v>
      </c>
      <c r="C55" s="35" t="s">
        <v>183</v>
      </c>
      <c r="D55" s="35" t="s">
        <v>201</v>
      </c>
      <c r="E55" s="73">
        <v>2</v>
      </c>
      <c r="F55" s="35" t="s">
        <v>196</v>
      </c>
      <c r="G55" s="14" t="s">
        <v>28</v>
      </c>
      <c r="H55" s="53">
        <v>46069</v>
      </c>
      <c r="I55" s="53">
        <v>46071</v>
      </c>
      <c r="J55" s="35" t="str">
        <f>TEXT(I55,"mmmm")</f>
        <v>febrero</v>
      </c>
      <c r="K55" s="36">
        <v>4259</v>
      </c>
      <c r="L55" s="37">
        <v>2987.69</v>
      </c>
      <c r="M55" s="36">
        <f t="shared" si="36"/>
        <v>1271.31</v>
      </c>
      <c r="N55" s="38">
        <f t="shared" si="37"/>
        <v>1050.6694214876034</v>
      </c>
      <c r="O55" s="39">
        <f t="shared" si="38"/>
        <v>220.6405785123967</v>
      </c>
      <c r="P55" s="40">
        <f t="shared" si="39"/>
        <v>4038.3594214876034</v>
      </c>
      <c r="Q55" s="40">
        <f t="shared" si="40"/>
        <v>4259</v>
      </c>
      <c r="R55" s="41">
        <f t="shared" si="31"/>
        <v>0.26017234025706659</v>
      </c>
      <c r="S55" s="72">
        <v>526</v>
      </c>
      <c r="T55" s="43">
        <f t="shared" si="3"/>
        <v>0.29913493905547095</v>
      </c>
    </row>
    <row r="56" spans="1:20" ht="15.6" x14ac:dyDescent="0.3">
      <c r="A56" s="32" t="s">
        <v>202</v>
      </c>
      <c r="B56" s="33">
        <v>36446</v>
      </c>
      <c r="C56" s="35" t="s">
        <v>203</v>
      </c>
      <c r="D56" s="35" t="s">
        <v>204</v>
      </c>
      <c r="E56" s="73">
        <v>2</v>
      </c>
      <c r="F56" s="35" t="s">
        <v>38</v>
      </c>
      <c r="G56" s="14" t="s">
        <v>28</v>
      </c>
      <c r="H56" s="53">
        <v>46074</v>
      </c>
      <c r="I56" s="53">
        <v>46081</v>
      </c>
      <c r="J56" s="35" t="str">
        <f>TEXT(I56,"mmmm")</f>
        <v>febrero</v>
      </c>
      <c r="K56" s="36">
        <v>16202</v>
      </c>
      <c r="L56" s="37">
        <v>12182.52</v>
      </c>
      <c r="M56" s="36">
        <f t="shared" si="36"/>
        <v>4019.4799999999996</v>
      </c>
      <c r="N56" s="38">
        <f t="shared" si="37"/>
        <v>3321.8842975206608</v>
      </c>
      <c r="O56" s="39">
        <f t="shared" si="38"/>
        <v>697.59570247933868</v>
      </c>
      <c r="P56" s="40">
        <f t="shared" si="39"/>
        <v>15504.404297520661</v>
      </c>
      <c r="Q56" s="40">
        <f t="shared" si="40"/>
        <v>16202</v>
      </c>
      <c r="R56" s="41">
        <f t="shared" si="31"/>
        <v>0.21425423600775617</v>
      </c>
      <c r="S56" s="72">
        <v>1620</v>
      </c>
      <c r="T56" s="43">
        <f t="shared" si="3"/>
        <v>0.23925292193586223</v>
      </c>
    </row>
    <row r="57" spans="1:20" ht="15.6" x14ac:dyDescent="0.3">
      <c r="A57" s="54"/>
      <c r="B57" s="55"/>
      <c r="C57" s="56"/>
      <c r="D57" s="62" t="s">
        <v>205</v>
      </c>
      <c r="E57" s="74">
        <f>SUM(E48:E56)</f>
        <v>27</v>
      </c>
      <c r="F57" s="54"/>
      <c r="G57" s="54"/>
      <c r="H57" s="57"/>
      <c r="I57" s="57"/>
      <c r="J57" s="57" t="s">
        <v>206</v>
      </c>
      <c r="K57" s="59">
        <f t="shared" ref="K57:Q57" si="41">SUM(K48:K56)</f>
        <v>110720.2</v>
      </c>
      <c r="L57" s="59">
        <f t="shared" si="41"/>
        <v>80918.44</v>
      </c>
      <c r="M57" s="59">
        <f t="shared" si="41"/>
        <v>29801.760000000006</v>
      </c>
      <c r="N57" s="59">
        <f t="shared" si="41"/>
        <v>24629.553719008272</v>
      </c>
      <c r="O57" s="59">
        <f t="shared" si="41"/>
        <v>5172.206280991737</v>
      </c>
      <c r="P57" s="59">
        <f t="shared" si="41"/>
        <v>105547.99371900829</v>
      </c>
      <c r="Q57" s="59">
        <f t="shared" si="41"/>
        <v>110720.2</v>
      </c>
      <c r="R57" s="60">
        <f t="shared" si="31"/>
        <v>0.23334933096480737</v>
      </c>
      <c r="S57" s="59">
        <f>SUM(S48:S56)</f>
        <v>15175</v>
      </c>
      <c r="T57" s="60">
        <f t="shared" si="3"/>
        <v>0.27253223231253765</v>
      </c>
    </row>
    <row r="58" spans="1:20" ht="15.6" x14ac:dyDescent="0.3">
      <c r="A58" s="32" t="s">
        <v>207</v>
      </c>
      <c r="B58" s="33" t="s">
        <v>208</v>
      </c>
      <c r="C58" s="35" t="s">
        <v>209</v>
      </c>
      <c r="D58" s="14" t="s">
        <v>210</v>
      </c>
      <c r="E58" s="5">
        <v>2</v>
      </c>
      <c r="F58" s="35" t="s">
        <v>113</v>
      </c>
      <c r="G58" s="35" t="s">
        <v>125</v>
      </c>
      <c r="H58" s="34">
        <v>46070</v>
      </c>
      <c r="I58" s="34">
        <v>46076</v>
      </c>
      <c r="J58" s="35" t="str">
        <f>TEXT(I58,"mmmm")</f>
        <v>febrero</v>
      </c>
      <c r="K58" s="36">
        <v>12147</v>
      </c>
      <c r="L58" s="37">
        <v>9423.5499999999993</v>
      </c>
      <c r="M58" s="36">
        <f t="shared" si="36"/>
        <v>2723.4500000000007</v>
      </c>
      <c r="N58" s="38">
        <f t="shared" si="37"/>
        <v>2250.7851239669426</v>
      </c>
      <c r="O58" s="39">
        <f t="shared" si="38"/>
        <v>472.66487603305791</v>
      </c>
      <c r="P58" s="40">
        <f t="shared" si="39"/>
        <v>11674.335123966943</v>
      </c>
      <c r="Q58" s="40">
        <f t="shared" si="40"/>
        <v>12147</v>
      </c>
      <c r="R58" s="41">
        <f t="shared" si="31"/>
        <v>0.19279771396541212</v>
      </c>
      <c r="S58" s="72">
        <v>1822</v>
      </c>
      <c r="T58" s="43">
        <f t="shared" si="3"/>
        <v>0.22845194521364259</v>
      </c>
    </row>
    <row r="59" spans="1:20" ht="15.6" x14ac:dyDescent="0.3">
      <c r="A59" s="32" t="s">
        <v>211</v>
      </c>
      <c r="B59" s="33" t="s">
        <v>212</v>
      </c>
      <c r="C59" s="35" t="s">
        <v>213</v>
      </c>
      <c r="D59" s="14" t="s">
        <v>214</v>
      </c>
      <c r="E59" s="5">
        <v>36</v>
      </c>
      <c r="F59" s="35" t="s">
        <v>33</v>
      </c>
      <c r="G59" s="35" t="s">
        <v>125</v>
      </c>
      <c r="H59" s="34">
        <v>46050</v>
      </c>
      <c r="I59" s="34">
        <v>46054</v>
      </c>
      <c r="J59" s="35" t="str">
        <f>TEXT(I59,"mmmm")</f>
        <v>febrero</v>
      </c>
      <c r="K59" s="36">
        <v>19745</v>
      </c>
      <c r="L59" s="37">
        <v>19187.939999999999</v>
      </c>
      <c r="M59" s="36">
        <f t="shared" si="36"/>
        <v>557.06000000000131</v>
      </c>
      <c r="N59" s="38">
        <f t="shared" si="37"/>
        <v>460.38016528925732</v>
      </c>
      <c r="O59" s="39">
        <f t="shared" si="38"/>
        <v>96.679834710744032</v>
      </c>
      <c r="P59" s="40">
        <f t="shared" si="39"/>
        <v>19648.320165289257</v>
      </c>
      <c r="Q59" s="40">
        <f t="shared" si="40"/>
        <v>19745</v>
      </c>
      <c r="R59" s="41">
        <f t="shared" si="31"/>
        <v>2.3431019110863503E-2</v>
      </c>
      <c r="S59" s="72">
        <v>0</v>
      </c>
      <c r="T59" s="43">
        <f t="shared" si="3"/>
        <v>2.3431019110863503E-2</v>
      </c>
    </row>
    <row r="60" spans="1:20" ht="15.6" x14ac:dyDescent="0.3">
      <c r="A60" s="32" t="s">
        <v>215</v>
      </c>
      <c r="B60" s="33" t="s">
        <v>141</v>
      </c>
      <c r="C60" s="35" t="s">
        <v>142</v>
      </c>
      <c r="D60" s="14" t="s">
        <v>216</v>
      </c>
      <c r="E60" s="5">
        <v>2</v>
      </c>
      <c r="F60" s="35" t="s">
        <v>33</v>
      </c>
      <c r="G60" s="35" t="s">
        <v>125</v>
      </c>
      <c r="H60" s="34">
        <v>46073</v>
      </c>
      <c r="I60" s="34">
        <v>46078</v>
      </c>
      <c r="J60" s="35" t="str">
        <f>TEXT(I60,"mmmm")</f>
        <v>febrero</v>
      </c>
      <c r="K60" s="36">
        <v>545</v>
      </c>
      <c r="L60" s="37">
        <v>1023.75</v>
      </c>
      <c r="M60" s="36">
        <f t="shared" si="36"/>
        <v>-478.75</v>
      </c>
      <c r="N60" s="38">
        <f t="shared" si="37"/>
        <v>-395.6611570247934</v>
      </c>
      <c r="O60" s="39">
        <f t="shared" si="38"/>
        <v>-83.088842975206617</v>
      </c>
      <c r="P60" s="40">
        <f t="shared" si="39"/>
        <v>628.0888429752066</v>
      </c>
      <c r="Q60" s="40">
        <f t="shared" si="40"/>
        <v>545</v>
      </c>
      <c r="R60" s="41">
        <f t="shared" si="31"/>
        <v>-0.62994457145676741</v>
      </c>
      <c r="S60" s="72">
        <v>0</v>
      </c>
      <c r="T60" s="43">
        <f t="shared" si="3"/>
        <v>-0.62994457145676741</v>
      </c>
    </row>
    <row r="61" spans="1:20" ht="15.6" x14ac:dyDescent="0.3">
      <c r="A61" s="54"/>
      <c r="B61" s="55"/>
      <c r="C61" s="56"/>
      <c r="D61" s="62" t="s">
        <v>217</v>
      </c>
      <c r="E61" s="74">
        <f>SUM(E58:E60)</f>
        <v>40</v>
      </c>
      <c r="F61" s="54"/>
      <c r="G61" s="54"/>
      <c r="H61" s="57"/>
      <c r="I61" s="57"/>
      <c r="J61" s="57" t="s">
        <v>206</v>
      </c>
      <c r="K61" s="59">
        <f t="shared" ref="K61:Q61" si="42">SUM(K58:K60)</f>
        <v>32437</v>
      </c>
      <c r="L61" s="59">
        <f t="shared" si="42"/>
        <v>29635.239999999998</v>
      </c>
      <c r="M61" s="59">
        <f t="shared" si="42"/>
        <v>2801.760000000002</v>
      </c>
      <c r="N61" s="59">
        <f t="shared" si="42"/>
        <v>2315.5041322314064</v>
      </c>
      <c r="O61" s="59">
        <f t="shared" si="42"/>
        <v>486.25586776859529</v>
      </c>
      <c r="P61" s="59">
        <f t="shared" si="42"/>
        <v>31950.744132231404</v>
      </c>
      <c r="Q61" s="59">
        <f t="shared" si="42"/>
        <v>32437</v>
      </c>
      <c r="R61" s="60">
        <f t="shared" si="31"/>
        <v>7.2471054904025306E-2</v>
      </c>
      <c r="S61" s="59">
        <f>SUM(S58:S60)</f>
        <v>1822</v>
      </c>
      <c r="T61" s="60">
        <f t="shared" si="3"/>
        <v>7.6853655833410764E-2</v>
      </c>
    </row>
    <row r="62" spans="1:20" ht="15.6" x14ac:dyDescent="0.3">
      <c r="A62" s="32"/>
      <c r="B62" s="75"/>
      <c r="C62" s="35"/>
      <c r="D62" s="4"/>
      <c r="E62" s="5"/>
      <c r="F62" s="76"/>
      <c r="G62" s="35" t="s">
        <v>138</v>
      </c>
      <c r="H62" s="35"/>
      <c r="I62" s="35"/>
      <c r="J62" s="35"/>
      <c r="K62" s="36"/>
      <c r="L62" s="36"/>
      <c r="M62" s="36">
        <f>+K62-L62</f>
        <v>0</v>
      </c>
      <c r="N62" s="38">
        <f t="shared" ref="N62" si="43">+M62/1.21</f>
        <v>0</v>
      </c>
      <c r="O62" s="39">
        <f t="shared" ref="O62" si="44">+N62*21%</f>
        <v>0</v>
      </c>
      <c r="P62" s="40">
        <f>+L62+N62</f>
        <v>0</v>
      </c>
      <c r="Q62" s="40">
        <f t="shared" ref="Q62" si="45">+O62+P62</f>
        <v>0</v>
      </c>
      <c r="R62" s="41" t="e">
        <f t="shared" si="31"/>
        <v>#DIV/0!</v>
      </c>
      <c r="S62" s="72"/>
      <c r="T62" s="43" t="e">
        <f t="shared" si="3"/>
        <v>#DIV/0!</v>
      </c>
    </row>
    <row r="63" spans="1:20" ht="15.6" x14ac:dyDescent="0.3">
      <c r="A63" s="54"/>
      <c r="B63" s="55"/>
      <c r="C63" s="56"/>
      <c r="D63" s="62" t="s">
        <v>218</v>
      </c>
      <c r="E63" s="74">
        <f>SUM(E62:E62)</f>
        <v>0</v>
      </c>
      <c r="F63" s="54"/>
      <c r="G63" s="54"/>
      <c r="H63" s="57"/>
      <c r="I63" s="57"/>
      <c r="J63" s="57" t="s">
        <v>206</v>
      </c>
      <c r="K63" s="59">
        <f t="shared" ref="K63:Q63" si="46">SUM(K62:K62)</f>
        <v>0</v>
      </c>
      <c r="L63" s="59">
        <f t="shared" si="46"/>
        <v>0</v>
      </c>
      <c r="M63" s="59">
        <f t="shared" si="46"/>
        <v>0</v>
      </c>
      <c r="N63" s="59">
        <f t="shared" si="46"/>
        <v>0</v>
      </c>
      <c r="O63" s="59">
        <f t="shared" si="46"/>
        <v>0</v>
      </c>
      <c r="P63" s="59">
        <f t="shared" si="46"/>
        <v>0</v>
      </c>
      <c r="Q63" s="59">
        <f t="shared" si="46"/>
        <v>0</v>
      </c>
      <c r="R63" s="60" t="e">
        <f>+N63/P63</f>
        <v>#DIV/0!</v>
      </c>
      <c r="S63" s="59">
        <f>SUM(S62:S62)</f>
        <v>0</v>
      </c>
      <c r="T63" s="77" t="e">
        <f t="shared" si="3"/>
        <v>#DIV/0!</v>
      </c>
    </row>
    <row r="64" spans="1:20" ht="15.6" x14ac:dyDescent="0.3">
      <c r="A64" s="32" t="s">
        <v>219</v>
      </c>
      <c r="B64" s="33" t="s">
        <v>141</v>
      </c>
      <c r="C64" s="35" t="s">
        <v>142</v>
      </c>
      <c r="D64" s="14" t="s">
        <v>220</v>
      </c>
      <c r="E64" s="5">
        <v>2</v>
      </c>
      <c r="F64" s="35" t="s">
        <v>27</v>
      </c>
      <c r="G64" s="35" t="s">
        <v>144</v>
      </c>
      <c r="H64" s="34">
        <v>46066</v>
      </c>
      <c r="I64" s="34">
        <v>46079</v>
      </c>
      <c r="J64" s="35" t="str">
        <f t="shared" ref="J64" si="47">TEXT(I64,"mmmm")</f>
        <v>febrero</v>
      </c>
      <c r="K64" s="36">
        <v>21639</v>
      </c>
      <c r="L64" s="37">
        <v>16434.330000000002</v>
      </c>
      <c r="M64" s="36">
        <f t="shared" ref="M64" si="48">+K64-L64</f>
        <v>5204.6699999999983</v>
      </c>
      <c r="N64" s="38">
        <f t="shared" ref="N64" si="49">+M64/1.21</f>
        <v>4301.3801652892553</v>
      </c>
      <c r="O64" s="39">
        <f t="shared" ref="O64" si="50">+N64*21%</f>
        <v>903.28983471074355</v>
      </c>
      <c r="P64" s="40">
        <f t="shared" ref="P64" si="51">+L64+N64</f>
        <v>20735.710165289256</v>
      </c>
      <c r="Q64" s="40">
        <f t="shared" ref="Q64" si="52">+O64+P64</f>
        <v>21639</v>
      </c>
      <c r="R64" s="41">
        <f t="shared" ref="R64:R72" si="53">+N64/P64</f>
        <v>0.2074382854988778</v>
      </c>
      <c r="S64" s="72">
        <v>0</v>
      </c>
      <c r="T64" s="43">
        <f t="shared" si="3"/>
        <v>0.2074382854988778</v>
      </c>
    </row>
    <row r="65" spans="1:20" ht="15.6" x14ac:dyDescent="0.3">
      <c r="A65" s="54"/>
      <c r="B65" s="55"/>
      <c r="C65" s="56"/>
      <c r="D65" s="62" t="s">
        <v>221</v>
      </c>
      <c r="E65" s="74">
        <f>SUM(E64:E64)</f>
        <v>2</v>
      </c>
      <c r="F65" s="54"/>
      <c r="G65" s="54"/>
      <c r="H65" s="57"/>
      <c r="I65" s="57"/>
      <c r="J65" s="57" t="s">
        <v>206</v>
      </c>
      <c r="K65" s="59">
        <f t="shared" ref="K65:Q65" si="54">SUM(K64:K64)</f>
        <v>21639</v>
      </c>
      <c r="L65" s="59">
        <f t="shared" si="54"/>
        <v>16434.330000000002</v>
      </c>
      <c r="M65" s="59">
        <f t="shared" si="54"/>
        <v>5204.6699999999983</v>
      </c>
      <c r="N65" s="59">
        <f t="shared" si="54"/>
        <v>4301.3801652892553</v>
      </c>
      <c r="O65" s="59">
        <f t="shared" si="54"/>
        <v>903.28983471074355</v>
      </c>
      <c r="P65" s="59">
        <f t="shared" si="54"/>
        <v>20735.710165289256</v>
      </c>
      <c r="Q65" s="59">
        <f t="shared" si="54"/>
        <v>21639</v>
      </c>
      <c r="R65" s="60">
        <f t="shared" si="53"/>
        <v>0.2074382854988778</v>
      </c>
      <c r="S65" s="59">
        <f>SUM(S64:S64)</f>
        <v>0</v>
      </c>
      <c r="T65" s="60">
        <f t="shared" si="3"/>
        <v>0.2074382854988778</v>
      </c>
    </row>
    <row r="66" spans="1:20" ht="15.6" x14ac:dyDescent="0.3">
      <c r="A66" s="32" t="s">
        <v>222</v>
      </c>
      <c r="B66" s="33">
        <v>37217</v>
      </c>
      <c r="C66" s="35" t="s">
        <v>161</v>
      </c>
      <c r="D66" s="14" t="s">
        <v>223</v>
      </c>
      <c r="E66" s="5">
        <v>2</v>
      </c>
      <c r="F66" s="35" t="s">
        <v>57</v>
      </c>
      <c r="G66" s="35" t="s">
        <v>162</v>
      </c>
      <c r="H66" s="34">
        <v>46066</v>
      </c>
      <c r="I66" s="34">
        <v>46072</v>
      </c>
      <c r="J66" s="35" t="str">
        <f t="shared" ref="J66:J67" si="55">TEXT(I66,"mmmm")</f>
        <v>febrero</v>
      </c>
      <c r="K66" s="36">
        <v>19164</v>
      </c>
      <c r="L66" s="37">
        <v>13896.42</v>
      </c>
      <c r="M66" s="36">
        <f>+K66-L66</f>
        <v>5267.58</v>
      </c>
      <c r="N66" s="38">
        <f t="shared" ref="N66:N67" si="56">+M66/1.21</f>
        <v>4353.3719008264461</v>
      </c>
      <c r="O66" s="39">
        <f t="shared" ref="O66:O67" si="57">+N66*21%</f>
        <v>914.20809917355371</v>
      </c>
      <c r="P66" s="40">
        <f>+L66+N66</f>
        <v>18249.791900826447</v>
      </c>
      <c r="Q66" s="40">
        <f t="shared" ref="Q66:Q67" si="58">+O66+P66</f>
        <v>19164</v>
      </c>
      <c r="R66" s="41">
        <f t="shared" si="53"/>
        <v>0.2385436461129895</v>
      </c>
      <c r="S66" s="61">
        <v>1014.71</v>
      </c>
      <c r="T66" s="43">
        <f t="shared" si="3"/>
        <v>0.25258782788944539</v>
      </c>
    </row>
    <row r="67" spans="1:20" ht="15.6" x14ac:dyDescent="0.3">
      <c r="A67" s="32" t="s">
        <v>224</v>
      </c>
      <c r="B67" s="33">
        <v>36432</v>
      </c>
      <c r="C67" s="35" t="s">
        <v>225</v>
      </c>
      <c r="D67" s="14" t="s">
        <v>226</v>
      </c>
      <c r="E67" s="5">
        <v>2</v>
      </c>
      <c r="F67" s="35" t="s">
        <v>57</v>
      </c>
      <c r="G67" s="35" t="s">
        <v>162</v>
      </c>
      <c r="H67" s="34">
        <v>46048</v>
      </c>
      <c r="I67" s="34">
        <v>46054</v>
      </c>
      <c r="J67" s="35" t="str">
        <f t="shared" si="55"/>
        <v>febrero</v>
      </c>
      <c r="K67" s="36">
        <v>5217</v>
      </c>
      <c r="L67" s="37">
        <v>3173.55</v>
      </c>
      <c r="M67" s="36">
        <f>+K67-L67</f>
        <v>2043.4499999999998</v>
      </c>
      <c r="N67" s="38">
        <f t="shared" si="56"/>
        <v>1688.8016528925618</v>
      </c>
      <c r="O67" s="39">
        <f t="shared" si="57"/>
        <v>354.64834710743798</v>
      </c>
      <c r="P67" s="40">
        <f>+L67+N67</f>
        <v>4862.351652892562</v>
      </c>
      <c r="Q67" s="40">
        <f t="shared" si="58"/>
        <v>5217</v>
      </c>
      <c r="R67" s="41">
        <f t="shared" si="53"/>
        <v>0.34732199015015941</v>
      </c>
      <c r="S67" s="61">
        <v>217</v>
      </c>
      <c r="T67" s="43">
        <f t="shared" si="3"/>
        <v>0.36354656850165062</v>
      </c>
    </row>
    <row r="68" spans="1:20" ht="15.6" x14ac:dyDescent="0.3">
      <c r="A68" s="54"/>
      <c r="B68" s="55"/>
      <c r="C68" s="56"/>
      <c r="D68" s="62" t="s">
        <v>227</v>
      </c>
      <c r="E68" s="74">
        <f>SUM(E66:E67)</f>
        <v>4</v>
      </c>
      <c r="F68" s="54"/>
      <c r="G68" s="54"/>
      <c r="H68" s="57"/>
      <c r="I68" s="57"/>
      <c r="J68" s="57" t="s">
        <v>206</v>
      </c>
      <c r="K68" s="59">
        <f t="shared" ref="K68:Q68" si="59">SUM(K66:K67)</f>
        <v>24381</v>
      </c>
      <c r="L68" s="59">
        <f t="shared" si="59"/>
        <v>17069.97</v>
      </c>
      <c r="M68" s="59">
        <f t="shared" si="59"/>
        <v>7311.03</v>
      </c>
      <c r="N68" s="59">
        <f t="shared" si="59"/>
        <v>6042.1735537190079</v>
      </c>
      <c r="O68" s="59">
        <f t="shared" si="59"/>
        <v>1268.8564462809918</v>
      </c>
      <c r="P68" s="59">
        <f t="shared" si="59"/>
        <v>23112.143553719008</v>
      </c>
      <c r="Q68" s="59">
        <f t="shared" si="59"/>
        <v>24381</v>
      </c>
      <c r="R68" s="77">
        <f t="shared" si="53"/>
        <v>0.26142852304786557</v>
      </c>
      <c r="S68" s="59">
        <f>SUM(S66:S67)</f>
        <v>1231.71</v>
      </c>
      <c r="T68" s="60">
        <f t="shared" si="3"/>
        <v>0.27614505621585467</v>
      </c>
    </row>
    <row r="69" spans="1:20" ht="15.6" x14ac:dyDescent="0.3">
      <c r="A69" s="32" t="s">
        <v>228</v>
      </c>
      <c r="B69" s="33">
        <v>37357</v>
      </c>
      <c r="C69" s="35" t="s">
        <v>160</v>
      </c>
      <c r="D69" s="14" t="s">
        <v>229</v>
      </c>
      <c r="E69" s="5">
        <v>2</v>
      </c>
      <c r="F69" s="35" t="s">
        <v>92</v>
      </c>
      <c r="G69" s="35" t="s">
        <v>167</v>
      </c>
      <c r="H69" s="34">
        <v>46072</v>
      </c>
      <c r="I69" s="34">
        <v>46075</v>
      </c>
      <c r="J69" s="35" t="str">
        <f t="shared" ref="J69" si="60">TEXT(I69,"mmmm")</f>
        <v>febrero</v>
      </c>
      <c r="K69" s="36">
        <v>5751</v>
      </c>
      <c r="L69" s="37">
        <v>3763.98</v>
      </c>
      <c r="M69" s="36">
        <f>+K69-L69</f>
        <v>1987.02</v>
      </c>
      <c r="N69" s="38">
        <f t="shared" ref="N69:N70" si="61">+M69/1.21</f>
        <v>1642.1652892561983</v>
      </c>
      <c r="O69" s="39">
        <f t="shared" ref="O69:O70" si="62">+N69*21%</f>
        <v>344.85471074380166</v>
      </c>
      <c r="P69" s="40">
        <f>+L69+N69</f>
        <v>5406.1452892561983</v>
      </c>
      <c r="Q69" s="40">
        <f t="shared" ref="Q69:Q70" si="63">+O69+P69</f>
        <v>5751</v>
      </c>
      <c r="R69" s="78">
        <f t="shared" si="53"/>
        <v>0.30375900043229043</v>
      </c>
      <c r="S69" s="61">
        <v>0</v>
      </c>
      <c r="T69" s="43">
        <f t="shared" ref="T69:T72" si="64">+N69/(P69-S69)</f>
        <v>0.30375900043229043</v>
      </c>
    </row>
    <row r="70" spans="1:20" ht="15.6" x14ac:dyDescent="0.3">
      <c r="A70" s="32" t="s">
        <v>230</v>
      </c>
      <c r="B70" s="33">
        <v>37364</v>
      </c>
      <c r="C70" s="35" t="s">
        <v>160</v>
      </c>
      <c r="D70" s="14" t="s">
        <v>231</v>
      </c>
      <c r="E70" s="5">
        <v>3</v>
      </c>
      <c r="F70" s="35" t="s">
        <v>92</v>
      </c>
      <c r="G70" s="35" t="s">
        <v>167</v>
      </c>
      <c r="H70" s="53">
        <v>46067</v>
      </c>
      <c r="I70" s="34">
        <v>46069</v>
      </c>
      <c r="J70" s="35" t="str">
        <f>TEXT(I70,"mmmm")</f>
        <v>febrero</v>
      </c>
      <c r="K70" s="36">
        <v>2012</v>
      </c>
      <c r="L70" s="37">
        <v>1482.73</v>
      </c>
      <c r="M70" s="36">
        <f>+K70-L70</f>
        <v>529.27</v>
      </c>
      <c r="N70" s="38">
        <f t="shared" si="61"/>
        <v>437.41322314049586</v>
      </c>
      <c r="O70" s="39">
        <f t="shared" si="62"/>
        <v>91.856776859504123</v>
      </c>
      <c r="P70" s="40">
        <f>+L70+N70</f>
        <v>1920.1432231404958</v>
      </c>
      <c r="Q70" s="40">
        <f t="shared" si="63"/>
        <v>2012</v>
      </c>
      <c r="R70" s="78">
        <f t="shared" si="53"/>
        <v>0.22780239404490016</v>
      </c>
      <c r="S70" s="61">
        <v>0</v>
      </c>
      <c r="T70" s="43">
        <f t="shared" si="64"/>
        <v>0.22780239404490016</v>
      </c>
    </row>
    <row r="71" spans="1:20" ht="15.6" x14ac:dyDescent="0.3">
      <c r="A71" s="55"/>
      <c r="B71" s="55"/>
      <c r="C71" s="56"/>
      <c r="D71" s="62" t="s">
        <v>232</v>
      </c>
      <c r="E71" s="74">
        <f>SUM(E69:E70)</f>
        <v>5</v>
      </c>
      <c r="F71" s="54"/>
      <c r="G71" s="54"/>
      <c r="H71" s="57"/>
      <c r="I71" s="57"/>
      <c r="J71" s="57" t="s">
        <v>206</v>
      </c>
      <c r="K71" s="59">
        <f>SUM(K69:K70)</f>
        <v>7763</v>
      </c>
      <c r="L71" s="59">
        <f>SUM(L69:L70)</f>
        <v>5246.71</v>
      </c>
      <c r="M71" s="59">
        <f>SUM(M69:M70)</f>
        <v>2516.29</v>
      </c>
      <c r="N71" s="59">
        <f>SUM(N69:N70)</f>
        <v>2079.5785123966944</v>
      </c>
      <c r="O71" s="59">
        <f t="shared" ref="O71:Q71" si="65">SUM(O69:O70)</f>
        <v>436.71148760330578</v>
      </c>
      <c r="P71" s="59">
        <f t="shared" si="65"/>
        <v>7326.2885123966944</v>
      </c>
      <c r="Q71" s="59">
        <f t="shared" si="65"/>
        <v>7763</v>
      </c>
      <c r="R71" s="60">
        <f t="shared" si="53"/>
        <v>0.28385157216752699</v>
      </c>
      <c r="S71" s="59">
        <f>SUM(S69:S70)</f>
        <v>0</v>
      </c>
      <c r="T71" s="60">
        <f t="shared" si="64"/>
        <v>0.28385157216752699</v>
      </c>
    </row>
    <row r="72" spans="1:20" ht="16.2" thickBot="1" x14ac:dyDescent="0.35">
      <c r="A72" s="65" t="s">
        <v>233</v>
      </c>
      <c r="B72" s="66"/>
      <c r="C72" s="65"/>
      <c r="D72" s="79" t="s">
        <v>234</v>
      </c>
      <c r="E72" s="80">
        <f>+E57+E61+E63+E65+E68+E71</f>
        <v>78</v>
      </c>
      <c r="F72" s="65"/>
      <c r="G72" s="65"/>
      <c r="H72" s="65"/>
      <c r="I72" s="65"/>
      <c r="J72" s="67" t="s">
        <v>206</v>
      </c>
      <c r="K72" s="69">
        <f t="shared" ref="K72:Q72" si="66">+K71+K65+K63+K61+K57+K68</f>
        <v>196940.2</v>
      </c>
      <c r="L72" s="69">
        <f t="shared" si="66"/>
        <v>149304.69</v>
      </c>
      <c r="M72" s="69">
        <f t="shared" si="66"/>
        <v>47635.510000000009</v>
      </c>
      <c r="N72" s="69">
        <f t="shared" si="66"/>
        <v>39368.190082644636</v>
      </c>
      <c r="O72" s="70">
        <f t="shared" si="66"/>
        <v>8267.319917355373</v>
      </c>
      <c r="P72" s="70">
        <f t="shared" si="66"/>
        <v>188672.88008264467</v>
      </c>
      <c r="Q72" s="70">
        <f t="shared" si="66"/>
        <v>196940.2</v>
      </c>
      <c r="R72" s="71">
        <f t="shared" si="53"/>
        <v>0.20865844664797681</v>
      </c>
      <c r="S72" s="70">
        <f>+S71+S65+S63+S61+S57+S68</f>
        <v>18228.71</v>
      </c>
      <c r="T72" s="71">
        <f t="shared" si="64"/>
        <v>0.23097410761280868</v>
      </c>
    </row>
    <row r="73" spans="1:20" ht="15" thickTop="1" x14ac:dyDescent="0.3"/>
  </sheetData>
  <mergeCells count="2">
    <mergeCell ref="H3:J3"/>
    <mergeCell ref="S3:T3"/>
  </mergeCells>
  <conditionalFormatting sqref="A1:A4 A71:A72">
    <cfRule type="duplicateValues" dxfId="2" priority="3"/>
  </conditionalFormatting>
  <conditionalFormatting sqref="A1:A72">
    <cfRule type="duplicateValues" dxfId="1" priority="1"/>
  </conditionalFormatting>
  <conditionalFormatting sqref="A71:A72 A1:A4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Bautista</dc:creator>
  <cp:lastModifiedBy>Rebecca Bautista</cp:lastModifiedBy>
  <dcterms:created xsi:type="dcterms:W3CDTF">2026-07-27T09:57:18Z</dcterms:created>
  <dcterms:modified xsi:type="dcterms:W3CDTF">2026-07-27T09:58:02Z</dcterms:modified>
</cp:coreProperties>
</file>