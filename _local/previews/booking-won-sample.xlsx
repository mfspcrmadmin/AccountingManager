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4" fontId="0" fillId="0" borderId="0" xfId="0" applyNumberFormat="1"/>
    <xf numFmtId="10" fontId="0" fillId="0" borderId="0" xfId="0" applyNumberFormat="1"/>
  </cellXf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4" topLeftCell="A5" activePane="bottomLeft" state="frozen"/>
    </sheetView>
  </sheetViews>
  <sheetData>
    <row r="1">
      <c r="A1" t="inlineStr">
        <is>
          <t xml:space="preserve">MADE FOR SPAIN AND PORTUGAL - RELACIÓN DE VENTAS 2026</t>
        </is>
      </c>
    </row>
    <row r="2"/>
    <row r="3">
      <c r="A3" t="inlineStr">
        <is>
          <t xml:space="preserve"/>
        </is>
      </c>
      <c r="B3" t="inlineStr">
        <is>
          <t xml:space="preserve"/>
        </is>
      </c>
      <c r="C3" t="inlineStr">
        <is>
          <t xml:space="preserve"/>
        </is>
      </c>
      <c r="D3" t="inlineStr">
        <is>
          <t xml:space="preserve"/>
        </is>
      </c>
      <c r="E3" t="inlineStr">
        <is>
          <t xml:space="preserve"/>
        </is>
      </c>
      <c r="F3" t="inlineStr">
        <is>
          <t xml:space="preserve"/>
        </is>
      </c>
      <c r="G3" t="inlineStr">
        <is>
          <t xml:space="preserve"/>
        </is>
      </c>
      <c r="H3" t="inlineStr">
        <is>
          <t xml:space="preserve">FECHAS INICIO / FIN VIAJE</t>
        </is>
      </c>
      <c r="I3" t="inlineStr">
        <is>
          <t xml:space="preserve"/>
        </is>
      </c>
      <c r="J3" t="inlineStr">
        <is>
          <t xml:space="preserve"/>
        </is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/>
        </is>
      </c>
      <c r="O3" t="inlineStr">
        <is>
          <t xml:space="preserve"/>
        </is>
      </c>
      <c r="P3" t="inlineStr">
        <is>
          <t xml:space="preserve"/>
        </is>
      </c>
      <c r="Q3" t="inlineStr">
        <is>
          <t xml:space="preserve"/>
        </is>
      </c>
      <c r="R3" t="inlineStr">
        <is>
          <t xml:space="preserve">%</t>
        </is>
      </c>
      <c r="S3" t="inlineStr">
        <is>
          <t xml:space="preserve">COMISSION</t>
        </is>
      </c>
      <c r="T3" t="inlineStr">
        <is>
          <t xml:space="preserve"/>
        </is>
      </c>
    </row>
    <row r="4">
      <c r="A4" t="inlineStr">
        <is>
          <t xml:space="preserve">MFSP</t>
        </is>
      </c>
      <c r="B4" t="inlineStr">
        <is>
          <t xml:space="preserve"># REF</t>
        </is>
      </c>
      <c r="C4" t="inlineStr">
        <is>
          <t xml:space="preserve">Agencia</t>
        </is>
      </c>
      <c r="D4" t="inlineStr">
        <is>
          <t xml:space="preserve">Cliente</t>
        </is>
      </c>
      <c r="E4" t="inlineStr">
        <is>
          <t xml:space="preserve">Pax</t>
        </is>
      </c>
      <c r="F4" t="inlineStr">
        <is>
          <t xml:space="preserve">MfS Sales</t>
        </is>
      </c>
      <c r="G4" t="inlineStr">
        <is>
          <t xml:space="preserve">Grupo</t>
        </is>
      </c>
      <c r="H4" t="inlineStr">
        <is>
          <t xml:space="preserve">Check in</t>
        </is>
      </c>
      <c r="I4" t="inlineStr">
        <is>
          <t xml:space="preserve">Check out</t>
        </is>
      </c>
      <c r="J4" t="inlineStr">
        <is>
          <t xml:space="preserve">Mes</t>
        </is>
      </c>
      <c r="K4" t="inlineStr">
        <is>
          <t xml:space="preserve">TOTAL PVP</t>
        </is>
      </c>
      <c r="L4" t="inlineStr">
        <is>
          <t xml:space="preserve">TOTAL COST</t>
        </is>
      </c>
      <c r="M4" t="inlineStr">
        <is>
          <t xml:space="preserve">GROSS PROFIT</t>
        </is>
      </c>
      <c r="N4" t="inlineStr">
        <is>
          <t xml:space="preserve">NET PROFIT</t>
        </is>
      </c>
      <c r="O4" t="inlineStr">
        <is>
          <t xml:space="preserve">IVA 21%</t>
        </is>
      </c>
      <c r="P4" t="inlineStr">
        <is>
          <t xml:space="preserve">NET SALE</t>
        </is>
      </c>
      <c r="Q4" t="inlineStr">
        <is>
          <t xml:space="preserve">TOTAL PVP</t>
        </is>
      </c>
      <c r="R4" t="inlineStr">
        <is>
          <t xml:space="preserve">Gross Margin</t>
        </is>
      </c>
      <c r="S4" t="inlineStr">
        <is>
          <t xml:space="preserve">€</t>
        </is>
      </c>
      <c r="T4" t="inlineStr">
        <is>
          <t xml:space="preserve">NET Margin</t>
        </is>
      </c>
    </row>
    <row r="5">
      <c r="A5" t="inlineStr">
        <is>
          <t xml:space="preserve">MFSP-001</t>
        </is>
      </c>
      <c r="B5" t="inlineStr">
        <is>
          <t xml:space="preserve"/>
        </is>
      </c>
      <c r="C5" t="inlineStr">
        <is>
          <t xml:space="preserve"/>
        </is>
      </c>
      <c r="D5" t="inlineStr">
        <is>
          <t xml:space="preserve">Sample booking</t>
        </is>
      </c>
      <c r="E5">
        <v>4</v>
      </c>
      <c r="F5" t="inlineStr">
        <is>
          <t xml:space="preserve"/>
        </is>
      </c>
      <c r="G5" t="inlineStr">
        <is>
          <t xml:space="preserve"/>
        </is>
      </c>
      <c r="H5" t="inlineStr">
        <is>
          <t xml:space="preserve"/>
        </is>
      </c>
      <c r="I5" t="inlineStr">
        <is>
          <t xml:space="preserve"/>
        </is>
      </c>
      <c r="J5" s="2" t="str">
        <f>IF(I5= "","",TEXT(I5,"[$-es-ES]mmmm"))</f>
        <v/>
      </c>
      <c r="K5" t="inlineStr">
        <is>
          <t xml:space="preserve"/>
        </is>
      </c>
      <c r="L5" t="inlineStr">
        <is>
          <t xml:space="preserve"/>
        </is>
      </c>
      <c r="M5" s="2" t="str">
        <f>IF(COUNT(K5:L5)=2,K5-L5,"")</f>
        <v/>
      </c>
      <c r="N5" s="2" t="str">
        <f>IF(M5="","",M5/1.21)</f>
        <v/>
      </c>
      <c r="O5" s="2" t="str">
        <f>IF(N5="","",N5*21%)</f>
        <v/>
      </c>
      <c r="P5" s="2" t="str">
        <f>IF(N5="","",L5+N5)</f>
        <v/>
      </c>
      <c r="Q5" s="2" t="str">
        <f>IF(P5="","",O5+P5)</f>
        <v/>
      </c>
      <c r="R5" s="3" t="str">
        <f>IFERROR(N5/P5,"")</f>
        <v/>
      </c>
      <c r="S5" t="inlineStr">
        <is>
          <t xml:space="preserve"/>
        </is>
      </c>
      <c r="T5" s="3" t="str">
        <f>IF(OR(N5="",S5=""),"",IFERROR(N5/(P5-S5),""))</f>
        <v/>
      </c>
    </row>
  </sheetData>
  <autoFilter ref="A4:T5"/>
  <mergeCells count="2">
    <mergeCell ref="H3:J3"/>
    <mergeCell ref="S3:T3"/>
  </mergeCells>
</worksheet>
</file>